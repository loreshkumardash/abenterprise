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60" firstSheet="1" activeTab="7"/>
  </bookViews>
  <sheets>
    <sheet name="PL-PRE&amp;NOR" sheetId="1" r:id="rId1"/>
    <sheet name="TW-BKT" sheetId="4" r:id="rId2"/>
    <sheet name="NISSAN" sheetId="6" r:id="rId3"/>
    <sheet name="KMBL" sheetId="7" r:id="rId4"/>
    <sheet name="IIFL WRITE OFF" sheetId="10" r:id="rId5"/>
    <sheet name="PAYTM" sheetId="9" r:id="rId6"/>
    <sheet name="FOS PAYOUT STRUCTURE" sheetId="11" r:id="rId7"/>
    <sheet name="ACTUAL PAYOUT STRUCTURE" sheetId="12" r:id="rId8"/>
  </sheets>
  <definedNames>
    <definedName name="MASTER_DATA_1_MAR2023">#REF!</definedName>
  </definedNames>
  <calcPr calcId="144525"/>
</workbook>
</file>

<file path=xl/calcChain.xml><?xml version="1.0" encoding="utf-8"?>
<calcChain xmlns="http://schemas.openxmlformats.org/spreadsheetml/2006/main">
  <c r="K9" i="12" l="1"/>
  <c r="K8" i="12"/>
  <c r="K7" i="12"/>
  <c r="L9" i="1"/>
  <c r="L8" i="1"/>
  <c r="L7" i="1"/>
</calcChain>
</file>

<file path=xl/sharedStrings.xml><?xml version="1.0" encoding="utf-8"?>
<sst xmlns="http://schemas.openxmlformats.org/spreadsheetml/2006/main" count="1024" uniqueCount="402">
  <si>
    <t>BUCKET 1 GRID(STAB &amp; OTHERS)</t>
  </si>
  <si>
    <t>BUCKET 1 GRID (Fresh)</t>
  </si>
  <si>
    <t>Resolution</t>
  </si>
  <si>
    <t>Normalization</t>
  </si>
  <si>
    <t>&gt;</t>
  </si>
  <si>
    <t>&lt;=</t>
  </si>
  <si>
    <t>&lt;=10%</t>
  </si>
  <si>
    <t xml:space="preserve"> &gt;10% &amp; &lt;=12% </t>
  </si>
  <si>
    <t xml:space="preserve"> &gt;12% &amp; &lt;=14% </t>
  </si>
  <si>
    <t xml:space="preserve"> &gt;14% &amp; &lt;=16% </t>
  </si>
  <si>
    <t xml:space="preserve"> &gt;16%</t>
  </si>
  <si>
    <t>&lt;=8%</t>
  </si>
  <si>
    <t xml:space="preserve"> &gt;8% &amp; &lt;=10% </t>
  </si>
  <si>
    <t xml:space="preserve"> &gt;14%</t>
  </si>
  <si>
    <t>&gt;60%</t>
  </si>
  <si>
    <t>&gt;90%</t>
  </si>
  <si>
    <t>BUCKET 2 GRID (Stab &amp; HBRB)</t>
  </si>
  <si>
    <t>BUCKET 2 GRID (Fresh)</t>
  </si>
  <si>
    <t>Normalization &amp; RB</t>
  </si>
  <si>
    <t>&lt;=7%</t>
  </si>
  <si>
    <t xml:space="preserve"> &gt;7% &amp; &lt;=11% </t>
  </si>
  <si>
    <t xml:space="preserve"> &gt;11% &amp; &lt;=14% </t>
  </si>
  <si>
    <t xml:space="preserve"> &gt;14% &amp; &lt;=17% </t>
  </si>
  <si>
    <t xml:space="preserve"> &gt;17%</t>
  </si>
  <si>
    <t>BUCKET 3 GRID (Stab &amp; HBRB)</t>
  </si>
  <si>
    <t>BUCKET 3 GRID (Fresh)</t>
  </si>
  <si>
    <t>STAB %</t>
  </si>
  <si>
    <t>&lt;=4%</t>
  </si>
  <si>
    <t xml:space="preserve"> &gt;4 &amp; &lt;=6% </t>
  </si>
  <si>
    <t xml:space="preserve"> &gt;6% &amp; &lt;=8% </t>
  </si>
  <si>
    <t xml:space="preserve"> &gt;10%</t>
  </si>
  <si>
    <t>BUCKET 4 GRID</t>
  </si>
  <si>
    <t xml:space="preserve"> &gt;10% &amp; &lt;=14% </t>
  </si>
  <si>
    <t xml:space="preserve"> &gt;12%</t>
  </si>
  <si>
    <t>BUCKET 5+ GRID</t>
  </si>
  <si>
    <t>Insurance Payout</t>
  </si>
  <si>
    <t>% of Amount collected</t>
  </si>
  <si>
    <t>Max Cap</t>
  </si>
  <si>
    <t>Bkt 1 to 3</t>
  </si>
  <si>
    <t>Bkt 4 to 15</t>
  </si>
  <si>
    <t>Bkt 15+</t>
  </si>
  <si>
    <t>Max Capping on Settlement</t>
  </si>
  <si>
    <t>Up to 90 DPD</t>
  </si>
  <si>
    <t>91 to 450 DPD</t>
  </si>
  <si>
    <t>SETTLEMENT</t>
  </si>
  <si>
    <t>BOM BKT</t>
  </si>
  <si>
    <t>SETTLEMENT GRID AS PER REVERSAL</t>
  </si>
  <si>
    <t>POS Recovery %</t>
  </si>
  <si>
    <t>NEW GRID</t>
  </si>
  <si>
    <t>Buckets</t>
  </si>
  <si>
    <t>&lt; 35%</t>
  </si>
  <si>
    <t>Settlement (Reversal % of allocated pool)</t>
  </si>
  <si>
    <t>4 TO 6</t>
  </si>
  <si>
    <t>7 TO 12</t>
  </si>
  <si>
    <t>13 TO 15</t>
  </si>
  <si>
    <t>15+</t>
  </si>
  <si>
    <t>&gt;35% to &lt;=45%</t>
  </si>
  <si>
    <t>Less than 5%</t>
  </si>
  <si>
    <t>5% (FOR 1 MONTH)</t>
  </si>
  <si>
    <t>&gt;1.75%</t>
  </si>
  <si>
    <t>&gt;45% to &lt;=50%</t>
  </si>
  <si>
    <t>5% to 7%</t>
  </si>
  <si>
    <t xml:space="preserve">&gt;1.75% &amp; &lt;=2.5% </t>
  </si>
  <si>
    <t>&gt;50% to &lt;=60%</t>
  </si>
  <si>
    <t>7 to %9</t>
  </si>
  <si>
    <t xml:space="preserve">&gt;2.5% &amp; &lt;=3% </t>
  </si>
  <si>
    <t>&gt;60% to &lt;=70%</t>
  </si>
  <si>
    <t>9%-11%</t>
  </si>
  <si>
    <t xml:space="preserve">&gt;3% &amp; &lt;=4% </t>
  </si>
  <si>
    <t>&gt;70% to &lt;=80%</t>
  </si>
  <si>
    <t>More than 11%</t>
  </si>
  <si>
    <t>&gt;4</t>
  </si>
  <si>
    <t>&gt;80% to &lt;=90%</t>
  </si>
  <si>
    <t>&gt;90% to &lt;=100%</t>
  </si>
  <si>
    <t>Foreclosure</t>
  </si>
  <si>
    <t>POS + INTEREST (CHARGES FULLY WAIVED)</t>
  </si>
  <si>
    <t>451 -1170 DPD</t>
  </si>
  <si>
    <t>1170+ DPD</t>
  </si>
  <si>
    <t>BL</t>
  </si>
  <si>
    <t>PL</t>
  </si>
  <si>
    <t>&lt;=30%</t>
  </si>
  <si>
    <t>&lt;=35%</t>
  </si>
  <si>
    <t>&gt;30% to &lt;=35%</t>
  </si>
  <si>
    <t>No Settlements ( Only cash collection)</t>
  </si>
  <si>
    <t>Penal Collection (Over and above POS)</t>
  </si>
  <si>
    <t>BUCKET 1 GRID</t>
  </si>
  <si>
    <t>BUCKET 2 GRID</t>
  </si>
  <si>
    <t>BUCKET 3 GRID</t>
  </si>
  <si>
    <t>450+</t>
  </si>
  <si>
    <t>RESOLUTION</t>
  </si>
  <si>
    <t>Normalization%</t>
  </si>
  <si>
    <t>Roll Back + Normalization%</t>
  </si>
  <si>
    <t>AL</t>
  </si>
  <si>
    <t>TW</t>
  </si>
  <si>
    <t>&gt; </t>
  </si>
  <si>
    <t>&lt; 11%</t>
  </si>
  <si>
    <t>&gt;11 % &amp; &lt;=13%</t>
  </si>
  <si>
    <t>&gt;13% &amp; &lt;=15%</t>
  </si>
  <si>
    <t>&gt;15% &amp; &lt;=18%</t>
  </si>
  <si>
    <t>&gt;18% &amp; &lt;=20%</t>
  </si>
  <si>
    <t>&gt;20%</t>
  </si>
  <si>
    <t>&lt; 7%</t>
  </si>
  <si>
    <t>&gt;7% &amp; &lt;=9%</t>
  </si>
  <si>
    <t>&gt;9 % &amp; &lt;=11%</t>
  </si>
  <si>
    <t>&gt;11% &amp; &lt;=13%</t>
  </si>
  <si>
    <t>&gt;13 % &amp; &lt;=15%</t>
  </si>
  <si>
    <t>&gt;15%</t>
  </si>
  <si>
    <t>&gt;92%</t>
  </si>
  <si>
    <t>Settlement Capping of INR 15000 (&lt;=3 BKT)</t>
  </si>
  <si>
    <t>Grid</t>
  </si>
  <si>
    <t>Settlement/FC</t>
  </si>
  <si>
    <t>&lt;=3</t>
  </si>
  <si>
    <t>No POS waiver</t>
  </si>
  <si>
    <t>Up to 10% POS waiver</t>
  </si>
  <si>
    <t>Up to 20% POS waiver</t>
  </si>
  <si>
    <t>Above 30% POS waiver</t>
  </si>
  <si>
    <t>Payout Grid</t>
  </si>
  <si>
    <t/>
  </si>
  <si>
    <t>SLAB</t>
  </si>
  <si>
    <t>BOM BKT/DPD</t>
  </si>
  <si>
    <t>RESOL%</t>
  </si>
  <si>
    <t>RB</t>
  </si>
  <si>
    <t>NR</t>
  </si>
  <si>
    <t>ST (%)</t>
  </si>
  <si>
    <t>RB(%)</t>
  </si>
  <si>
    <t>NR(%</t>
  </si>
  <si>
    <t>Bkt X</t>
  </si>
  <si>
    <t>&lt;65%</t>
  </si>
  <si>
    <t>65%-70%</t>
  </si>
  <si>
    <t>70%-85%</t>
  </si>
  <si>
    <t>85%+</t>
  </si>
  <si>
    <t>Bkt 1</t>
  </si>
  <si>
    <t>&lt;87%</t>
  </si>
  <si>
    <t>&lt;15%</t>
  </si>
  <si>
    <t>87%-90%</t>
  </si>
  <si>
    <t>15%-20%</t>
  </si>
  <si>
    <t>90%-92%</t>
  </si>
  <si>
    <t>20%+</t>
  </si>
  <si>
    <t>92%-93.50%</t>
  </si>
  <si>
    <t>93.50%+</t>
  </si>
  <si>
    <t>Bkt 2</t>
  </si>
  <si>
    <t>&lt;70%</t>
  </si>
  <si>
    <t>&lt;25%</t>
  </si>
  <si>
    <t>&lt;10%</t>
  </si>
  <si>
    <t>70%-75%</t>
  </si>
  <si>
    <t>25%-30%</t>
  </si>
  <si>
    <t>10%-13%</t>
  </si>
  <si>
    <t>75%-80%</t>
  </si>
  <si>
    <t>30%-35%</t>
  </si>
  <si>
    <t>13%-16%</t>
  </si>
  <si>
    <t>80%+</t>
  </si>
  <si>
    <t>35%+</t>
  </si>
  <si>
    <t>16%+</t>
  </si>
  <si>
    <t>Bkt 3</t>
  </si>
  <si>
    <t>10%-15%</t>
  </si>
  <si>
    <t>4%-7%</t>
  </si>
  <si>
    <t>7%-10%</t>
  </si>
  <si>
    <t>10%+</t>
  </si>
  <si>
    <t>Bkt 4</t>
  </si>
  <si>
    <t>&lt;40%</t>
  </si>
  <si>
    <t>&lt;5%</t>
  </si>
  <si>
    <t>40%-50%</t>
  </si>
  <si>
    <t>5%-8%</t>
  </si>
  <si>
    <t>50%+</t>
  </si>
  <si>
    <t>8%+</t>
  </si>
  <si>
    <t>Bkt 5&amp;6</t>
  </si>
  <si>
    <t>&lt;28%</t>
  </si>
  <si>
    <t>&lt;8%</t>
  </si>
  <si>
    <t>28%-32%</t>
  </si>
  <si>
    <t>8%-10%</t>
  </si>
  <si>
    <t>32%+</t>
  </si>
  <si>
    <t>Bkt 6+</t>
  </si>
  <si>
    <t>&lt;3%</t>
  </si>
  <si>
    <t>&lt;1%</t>
  </si>
  <si>
    <t>3%-5%</t>
  </si>
  <si>
    <t>1%-2%</t>
  </si>
  <si>
    <t>5%+</t>
  </si>
  <si>
    <t>FR DAYS</t>
  </si>
  <si>
    <t>Additional Fixed PO Per Case On Resolved Case</t>
  </si>
  <si>
    <t>Days 2-10</t>
  </si>
  <si>
    <t>NA</t>
  </si>
  <si>
    <t>Days 11-13</t>
  </si>
  <si>
    <t>Days 20th-21st</t>
  </si>
  <si>
    <t>Cash Pick Up For BKT 1 TC Per Case</t>
  </si>
  <si>
    <t>=250,00</t>
  </si>
  <si>
    <t>REPO /SURRENDER PAYOUT PER VEHICLE</t>
  </si>
  <si>
    <r>
      <rPr>
        <b/>
        <sz val="10"/>
        <rFont val="Calibri"/>
        <charset val="134"/>
        <scheme val="minor"/>
      </rPr>
      <t>Closure</t>
    </r>
    <r>
      <rPr>
        <sz val="10"/>
        <rFont val="Calibri"/>
        <charset val="134"/>
        <scheme val="minor"/>
      </rPr>
      <t xml:space="preserve">       </t>
    </r>
    <r>
      <rPr>
        <b/>
        <sz val="10"/>
        <rFont val="Calibri"/>
        <charset val="134"/>
        <scheme val="minor"/>
      </rPr>
      <t>and
Settlement(without
OS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waiver)</t>
    </r>
  </si>
  <si>
    <t>Payout</t>
  </si>
  <si>
    <t>Without RC
Collection</t>
  </si>
  <si>
    <t>With  RC
Collection</t>
  </si>
  <si>
    <t>1 to 30 DPD</t>
  </si>
  <si>
    <t>EMI Payout on overdue emi
and charges payout as
applicable</t>
  </si>
  <si>
    <t>REPO</t>
  </si>
  <si>
    <t>&lt;60 dpd</t>
  </si>
  <si>
    <t>31 to 60 DPD</t>
  </si>
  <si>
    <t>Payout only for overdue emi
and charges</t>
  </si>
  <si>
    <t>&gt;60   -180
dpd</t>
  </si>
  <si>
    <t>61 to 120 DPD</t>
  </si>
  <si>
    <t>2%on collected amount</t>
  </si>
  <si>
    <t>&gt;180 dpd</t>
  </si>
  <si>
    <t>121-180 DPD</t>
  </si>
  <si>
    <t>4%on collected amount</t>
  </si>
  <si>
    <t>SURRENDER</t>
  </si>
  <si>
    <t>180+DPD</t>
  </si>
  <si>
    <t>6%on collected amount</t>
  </si>
  <si>
    <t>Maximum Payout Per account is restricted to Rs.20.000/-per vchicle&lt;180 dpd.
Maximum Payout Per account is restricted to Rs.40.000/-per vehicle&gt;180 dpd.</t>
  </si>
  <si>
    <r>
      <rPr>
        <b/>
        <sz val="10"/>
        <rFont val="Calibri"/>
        <charset val="134"/>
        <scheme val="minor"/>
      </rPr>
      <t>Cheque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Bounce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Charges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&amp;Penal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Interest
Payout</t>
    </r>
    <r>
      <rPr>
        <sz val="10"/>
        <rFont val="Calibri"/>
        <charset val="134"/>
        <scheme val="minor"/>
      </rPr>
      <t xml:space="preserve"> </t>
    </r>
    <r>
      <rPr>
        <b/>
        <sz val="10"/>
        <rFont val="Calibri"/>
        <charset val="134"/>
        <scheme val="minor"/>
      </rPr>
      <t>%</t>
    </r>
  </si>
  <si>
    <t xml:space="preserve"> 20
%</t>
  </si>
  <si>
    <t>&lt;=10%collection on allocated value</t>
  </si>
  <si>
    <t xml:space="preserve"> 30
%</t>
  </si>
  <si>
    <t>&gt;10%-20%collection on allocated value</t>
  </si>
  <si>
    <t xml:space="preserve"> 40
%</t>
  </si>
  <si>
    <t>&gt;20%collection on allocated value</t>
  </si>
  <si>
    <t>Auto</t>
  </si>
  <si>
    <t>Product</t>
  </si>
  <si>
    <t>Portfolio</t>
  </si>
  <si>
    <t>YOP</t>
  </si>
  <si>
    <t>%</t>
  </si>
  <si>
    <t>CCPL / Strategy</t>
  </si>
  <si>
    <r>
      <rPr>
        <b/>
        <i/>
        <sz val="9"/>
        <color rgb="FF000000"/>
        <rFont val="Calibri"/>
        <charset val="134"/>
        <scheme val="minor"/>
      </rPr>
      <t>NRFSIDEC24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ABF</t>
    </r>
  </si>
  <si>
    <r>
      <rPr>
        <b/>
        <i/>
        <sz val="9"/>
        <color rgb="FF000000"/>
        <rFont val="Calibri"/>
        <charset val="134"/>
        <scheme val="minor"/>
      </rPr>
      <t>HEROMAY24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AUTO</t>
    </r>
  </si>
  <si>
    <r>
      <rPr>
        <b/>
        <i/>
        <sz val="9"/>
        <color rgb="FF000000"/>
        <rFont val="Calibri"/>
        <charset val="134"/>
        <scheme val="minor"/>
      </rPr>
      <t>NRFSJAN24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ABF</t>
    </r>
  </si>
  <si>
    <r>
      <rPr>
        <b/>
        <i/>
        <sz val="9"/>
        <color rgb="FF000000"/>
        <rFont val="Calibri"/>
        <charset val="134"/>
        <scheme val="minor"/>
      </rPr>
      <t>NRFSAPR23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ABF</t>
    </r>
  </si>
  <si>
    <r>
      <rPr>
        <b/>
        <i/>
        <sz val="9"/>
        <color rgb="FF000000"/>
        <rFont val="Calibri"/>
        <charset val="134"/>
        <scheme val="minor"/>
      </rPr>
      <t>PFLJUN22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ABF</t>
    </r>
  </si>
  <si>
    <t>NRFSDEC21 ABF</t>
  </si>
  <si>
    <t>MAGMA - Mar 21</t>
  </si>
  <si>
    <t>ESLFEB20 - NPA ABF</t>
  </si>
  <si>
    <t>L&amp;T- Dec'19</t>
  </si>
  <si>
    <t>HDFC – Auto</t>
  </si>
  <si>
    <t>FICCL- Jul'19 - LWO</t>
  </si>
  <si>
    <r>
      <rPr>
        <b/>
        <i/>
        <sz val="9"/>
        <color rgb="FF000000"/>
        <rFont val="Calibri"/>
        <charset val="134"/>
        <scheme val="minor"/>
      </rPr>
      <t>FICCL- Jul'19 </t>
    </r>
    <r>
      <rPr>
        <b/>
        <i/>
        <sz val="9"/>
        <color rgb="FF1F497D"/>
        <rFont val="Calibri"/>
        <charset val="134"/>
        <scheme val="minor"/>
      </rPr>
      <t>–</t>
    </r>
    <r>
      <rPr>
        <b/>
        <i/>
        <sz val="9"/>
        <color rgb="FF000000"/>
        <rFont val="Calibri"/>
        <charset val="134"/>
        <scheme val="minor"/>
      </rPr>
      <t> CV</t>
    </r>
  </si>
  <si>
    <t>SBFC</t>
  </si>
  <si>
    <t>Magma IV</t>
  </si>
  <si>
    <t>L&amp;T- Mar'19</t>
  </si>
  <si>
    <t>Reliance Magma</t>
  </si>
  <si>
    <t>Magma III</t>
  </si>
  <si>
    <t>TCPL III</t>
  </si>
  <si>
    <t>TCPL II</t>
  </si>
  <si>
    <t>MITL</t>
  </si>
  <si>
    <t>MFL</t>
  </si>
  <si>
    <t>Internal CBG</t>
  </si>
  <si>
    <t>TCPL</t>
  </si>
  <si>
    <t>ARCIL</t>
  </si>
  <si>
    <t>ICICI Wheels</t>
  </si>
  <si>
    <r>
      <rPr>
        <sz val="9.5"/>
        <color rgb="FF222222"/>
        <rFont val="Calibri"/>
        <charset val="134"/>
        <scheme val="minor"/>
      </rPr>
      <t>1.     MCA &amp;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Product</t>
    </r>
  </si>
  <si>
    <t xml:space="preserve"> </t>
  </si>
  <si>
    <r>
      <rPr>
        <sz val="9.5"/>
        <color rgb="FF222222"/>
        <rFont val="Calibri"/>
        <charset val="134"/>
        <scheme val="minor"/>
      </rPr>
      <t>Field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Buckets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Payout</t>
    </r>
  </si>
  <si>
    <r>
      <rPr>
        <sz val="9.5"/>
        <color rgb="FF222222"/>
        <rFont val="Calibri"/>
        <charset val="134"/>
        <scheme val="minor"/>
      </rPr>
      <t>One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Man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Agency</t>
    </r>
  </si>
  <si>
    <t>City_Category</t>
  </si>
  <si>
    <t>DPD_Slab</t>
  </si>
  <si>
    <t>MCA</t>
  </si>
  <si>
    <t>31-60</t>
  </si>
  <si>
    <t>Emerging Markets</t>
  </si>
  <si>
    <t>61-89</t>
  </si>
  <si>
    <t>90-180</t>
  </si>
  <si>
    <t>181-365</t>
  </si>
  <si>
    <t>365+</t>
  </si>
  <si>
    <r>
      <rPr>
        <sz val="9.5"/>
        <color rgb="FF222222"/>
        <rFont val="Calibri"/>
        <charset val="134"/>
        <scheme val="minor"/>
      </rPr>
      <t xml:space="preserve">•     </t>
    </r>
    <r>
      <rPr>
        <sz val="9.5"/>
        <color rgb="FF222222"/>
        <rFont val="Calibri"/>
        <charset val="134"/>
        <scheme val="minor"/>
      </rPr>
      <t>Emerging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Market</t>
    </r>
    <r>
      <rPr>
        <sz val="9.5"/>
        <color rgb="FF222222"/>
        <rFont val="Calibri"/>
        <charset val="134"/>
        <scheme val="minor"/>
      </rPr>
      <t>: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Payout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calculation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will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done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state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wise</t>
    </r>
    <r>
      <rPr>
        <sz val="9.5"/>
        <color rgb="FF222222"/>
        <rFont val="Calibri"/>
        <charset val="134"/>
        <scheme val="minor"/>
      </rPr>
      <t>.</t>
    </r>
  </si>
  <si>
    <r>
      <rPr>
        <sz val="9.5"/>
        <color rgb="FF222222"/>
        <rFont val="Calibri"/>
        <charset val="134"/>
        <scheme val="minor"/>
      </rPr>
      <t>•     1-30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MCA</t>
    </r>
    <r>
      <rPr>
        <sz val="9.5"/>
        <color rgb="FF222222"/>
        <rFont val="Calibri"/>
        <charset val="134"/>
        <scheme val="minor"/>
      </rPr>
      <t>: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Collection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amount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will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considered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only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retained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accounts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(</t>
    </r>
    <r>
      <rPr>
        <sz val="9.5"/>
        <color rgb="FF222222"/>
        <rFont val="Calibri"/>
        <charset val="134"/>
        <scheme val="minor"/>
      </rPr>
      <t>retained account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 xml:space="preserve">:- </t>
    </r>
    <r>
      <rPr>
        <sz val="9.5"/>
        <color rgb="FF222222"/>
        <rFont val="Calibri"/>
        <charset val="134"/>
        <scheme val="minor"/>
      </rPr>
      <t>account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remains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1-30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only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allocation</t>
    </r>
    <r>
      <rPr>
        <sz val="9.5"/>
        <color rgb="FF222222"/>
        <rFont val="Calibri"/>
        <charset val="134"/>
        <scheme val="minor"/>
      </rPr>
      <t>/</t>
    </r>
    <r>
      <rPr>
        <sz val="9.5"/>
        <color rgb="FF222222"/>
        <rFont val="Calibri"/>
        <charset val="134"/>
        <scheme val="minor"/>
      </rPr>
      <t>cycle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closing</t>
    </r>
    <r>
      <rPr>
        <sz val="9.5"/>
        <color rgb="FF222222"/>
        <rFont val="Calibri"/>
        <charset val="134"/>
        <scheme val="minor"/>
      </rPr>
      <t>).</t>
    </r>
  </si>
  <si>
    <r>
      <rPr>
        <sz val="9.5"/>
        <color rgb="FF222222"/>
        <rFont val="Calibri"/>
        <charset val="134"/>
        <scheme val="minor"/>
      </rPr>
      <t xml:space="preserve">•     </t>
    </r>
    <r>
      <rPr>
        <sz val="9.5"/>
        <color rgb="FF222222"/>
        <rFont val="Calibri"/>
        <charset val="134"/>
        <scheme val="minor"/>
      </rPr>
      <t>For</t>
    </r>
    <r>
      <rPr>
        <sz val="9.5"/>
        <color rgb="FF222222"/>
        <rFont val="Calibri"/>
        <charset val="134"/>
        <scheme val="minor"/>
      </rPr>
      <t xml:space="preserve"> &lt;90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: </t>
    </r>
    <r>
      <rPr>
        <sz val="9.5"/>
        <color rgb="FF222222"/>
        <rFont val="Calibri"/>
        <charset val="134"/>
        <scheme val="minor"/>
      </rPr>
      <t>Collection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amount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will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considered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max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up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to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total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overdue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amount</t>
    </r>
    <r>
      <rPr>
        <sz val="9.5"/>
        <color rgb="FF222222"/>
        <rFont val="Calibri"/>
        <charset val="134"/>
        <scheme val="minor"/>
      </rPr>
      <t>.</t>
    </r>
  </si>
  <si>
    <r>
      <rPr>
        <sz val="9.5"/>
        <color rgb="FF222222"/>
        <rFont val="Calibri"/>
        <charset val="134"/>
        <scheme val="minor"/>
      </rPr>
      <t xml:space="preserve">•     </t>
    </r>
    <r>
      <rPr>
        <sz val="9.5"/>
        <color rgb="FF222222"/>
        <rFont val="Calibri"/>
        <charset val="134"/>
        <scheme val="minor"/>
      </rPr>
      <t>Ever</t>
    </r>
    <r>
      <rPr>
        <sz val="9.5"/>
        <color rgb="FF222222"/>
        <rFont val="Calibri"/>
        <charset val="134"/>
        <scheme val="minor"/>
      </rPr>
      <t xml:space="preserve"> 90: </t>
    </r>
    <r>
      <rPr>
        <sz val="9.5"/>
        <color rgb="FF222222"/>
        <rFont val="Calibri"/>
        <charset val="134"/>
        <scheme val="minor"/>
      </rPr>
      <t>An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account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tagged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as</t>
    </r>
    <r>
      <rPr>
        <sz val="9.5"/>
        <color rgb="FF222222"/>
        <rFont val="Calibri"/>
        <charset val="134"/>
        <scheme val="minor"/>
      </rPr>
      <t xml:space="preserve"> "</t>
    </r>
    <r>
      <rPr>
        <sz val="9.5"/>
        <color rgb="FF222222"/>
        <rFont val="Calibri"/>
        <charset val="134"/>
        <scheme val="minor"/>
      </rPr>
      <t>Ever</t>
    </r>
    <r>
      <rPr>
        <sz val="9.5"/>
        <color rgb="FF222222"/>
        <rFont val="Calibri"/>
        <charset val="134"/>
        <scheme val="minor"/>
      </rPr>
      <t xml:space="preserve"> 90" </t>
    </r>
    <r>
      <rPr>
        <sz val="9.5"/>
        <color rgb="FF222222"/>
        <rFont val="Calibri"/>
        <charset val="134"/>
        <scheme val="minor"/>
      </rPr>
      <t>if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reaches</t>
    </r>
    <r>
      <rPr>
        <sz val="9.5"/>
        <color rgb="FF222222"/>
        <rFont val="Calibri"/>
        <charset val="134"/>
        <scheme val="minor"/>
      </rPr>
      <t xml:space="preserve"> &gt;89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month</t>
    </r>
    <r>
      <rPr>
        <sz val="9.5"/>
        <color rgb="FF222222"/>
        <rFont val="Calibri"/>
        <charset val="134"/>
        <scheme val="minor"/>
      </rPr>
      <t>-</t>
    </r>
    <r>
      <rPr>
        <sz val="9.5"/>
        <color rgb="FF222222"/>
        <rFont val="Calibri"/>
        <charset val="134"/>
        <scheme val="minor"/>
      </rPr>
      <t>end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cycle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closing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for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products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MCA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and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PL</t>
    </r>
    <r>
      <rPr>
        <sz val="9.5"/>
        <color rgb="FF222222"/>
        <rFont val="Calibri"/>
        <charset val="134"/>
        <scheme val="minor"/>
      </rPr>
      <t>,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respectively</t>
    </r>
    <r>
      <rPr>
        <sz val="9.5"/>
        <color rgb="FF222222"/>
        <rFont val="Calibri"/>
        <charset val="134"/>
        <scheme val="minor"/>
      </rPr>
      <t>.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This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tag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remains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constant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90-180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range</t>
    </r>
    <r>
      <rPr>
        <sz val="9.5"/>
        <color rgb="FF222222"/>
        <rFont val="Calibri"/>
        <charset val="134"/>
        <scheme val="minor"/>
      </rPr>
      <t>,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until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it exceeds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180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DPD.</t>
    </r>
  </si>
  <si>
    <r>
      <rPr>
        <sz val="9.5"/>
        <color rgb="FF222222"/>
        <rFont val="Calibri"/>
        <charset val="134"/>
        <scheme val="minor"/>
      </rPr>
      <t xml:space="preserve">•     </t>
    </r>
    <r>
      <rPr>
        <sz val="9.5"/>
        <color rgb="FF222222"/>
        <rFont val="Calibri"/>
        <charset val="134"/>
        <scheme val="minor"/>
      </rPr>
      <t>Ever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 xml:space="preserve">180: </t>
    </r>
    <r>
      <rPr>
        <sz val="9.5"/>
        <color rgb="FF222222"/>
        <rFont val="Calibri"/>
        <charset val="134"/>
        <scheme val="minor"/>
      </rPr>
      <t>An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account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tagged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"</t>
    </r>
    <r>
      <rPr>
        <sz val="9.5"/>
        <color rgb="FF222222"/>
        <rFont val="Calibri"/>
        <charset val="134"/>
        <scheme val="minor"/>
      </rPr>
      <t>Ever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180"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if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reaches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&gt;180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DPD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at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month</t>
    </r>
    <r>
      <rPr>
        <sz val="9.5"/>
        <color rgb="FF222222"/>
        <rFont val="Calibri"/>
        <charset val="134"/>
        <scheme val="minor"/>
      </rPr>
      <t>-</t>
    </r>
    <r>
      <rPr>
        <sz val="9.5"/>
        <color rgb="FF222222"/>
        <rFont val="Calibri"/>
        <charset val="134"/>
        <scheme val="minor"/>
      </rPr>
      <t>end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or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cycle closing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for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products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MCA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and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PL</t>
    </r>
    <r>
      <rPr>
        <sz val="9.5"/>
        <color rgb="FF222222"/>
        <rFont val="Calibri"/>
        <charset val="134"/>
        <scheme val="minor"/>
      </rPr>
      <t xml:space="preserve">, </t>
    </r>
    <r>
      <rPr>
        <sz val="9.5"/>
        <color rgb="FF222222"/>
        <rFont val="Calibri"/>
        <charset val="134"/>
        <scheme val="minor"/>
      </rPr>
      <t>respectively</t>
    </r>
    <r>
      <rPr>
        <sz val="9.5"/>
        <color rgb="FF222222"/>
        <rFont val="Calibri"/>
        <charset val="134"/>
        <scheme val="minor"/>
      </rPr>
      <t>.</t>
    </r>
  </si>
  <si>
    <r>
      <rPr>
        <b/>
        <sz val="9.5"/>
        <color rgb="FF222222"/>
        <rFont val="Calibri"/>
        <charset val="134"/>
        <scheme val="minor"/>
      </rPr>
      <t>Performance</t>
    </r>
    <r>
      <rPr>
        <b/>
        <sz val="9.5"/>
        <color rgb="FF222222"/>
        <rFont val="Calibri"/>
        <charset val="134"/>
        <scheme val="minor"/>
      </rPr>
      <t xml:space="preserve"> </t>
    </r>
    <r>
      <rPr>
        <b/>
        <sz val="9.5"/>
        <color rgb="FF222222"/>
        <rFont val="Calibri"/>
        <charset val="134"/>
        <scheme val="minor"/>
      </rPr>
      <t>Penalty</t>
    </r>
  </si>
  <si>
    <r>
      <rPr>
        <sz val="9.5"/>
        <color rgb="FF222222"/>
        <rFont val="Calibri"/>
        <charset val="134"/>
        <scheme val="minor"/>
      </rPr>
      <t>Failure to achieve 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</t>
    </r>
    <r>
      <rPr>
        <sz val="9.5"/>
        <color rgb="FF222222"/>
        <rFont val="Calibri"/>
        <charset val="134"/>
        <scheme val="minor"/>
      </rPr>
      <t>equired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resolution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in any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bucket from 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monthly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assigned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targets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will</t>
    </r>
    <r>
      <rPr>
        <sz val="9.5"/>
        <color rgb="FF222222"/>
        <rFont val="Calibri"/>
        <charset val="134"/>
        <scheme val="minor"/>
      </rPr>
      <t xml:space="preserve"> lead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to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following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penalties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for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the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respective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bucket</t>
    </r>
    <r>
      <rPr>
        <sz val="9.5"/>
        <color rgb="FF222222"/>
        <rFont val="Calibri"/>
        <charset val="134"/>
        <scheme val="minor"/>
      </rPr>
      <t>’</t>
    </r>
    <r>
      <rPr>
        <sz val="9.5"/>
        <color rgb="FF222222"/>
        <rFont val="Calibri"/>
        <charset val="134"/>
        <scheme val="minor"/>
      </rPr>
      <t>s</t>
    </r>
    <r>
      <rPr>
        <sz val="9.5"/>
        <color rgb="FF222222"/>
        <rFont val="Calibri"/>
        <charset val="134"/>
        <scheme val="minor"/>
      </rPr>
      <t xml:space="preserve"> </t>
    </r>
    <r>
      <rPr>
        <sz val="9.5"/>
        <color rgb="FF222222"/>
        <rFont val="Calibri"/>
        <charset val="134"/>
        <scheme val="minor"/>
      </rPr>
      <t>payout</t>
    </r>
    <r>
      <rPr>
        <sz val="9.5"/>
        <color rgb="FF222222"/>
        <rFont val="Calibri"/>
        <charset val="134"/>
        <scheme val="minor"/>
      </rPr>
      <t>.</t>
    </r>
  </si>
  <si>
    <t>S. No.</t>
  </si>
  <si>
    <t>Difference in Target V/s Achievement</t>
  </si>
  <si>
    <t>Penalty</t>
  </si>
  <si>
    <t>3% to 5%</t>
  </si>
  <si>
    <t>5%+ to 10%</t>
  </si>
  <si>
    <t>Beyond 10%</t>
  </si>
  <si>
    <r>
      <rPr>
        <b/>
        <sz val="14"/>
        <rFont val="Calibri"/>
        <charset val="134"/>
        <scheme val="minor"/>
      </rPr>
      <t>Bkt</t>
    </r>
    <r>
      <rPr>
        <sz val="14"/>
        <rFont val="Calibri"/>
        <charset val="134"/>
        <scheme val="minor"/>
      </rPr>
      <t xml:space="preserve"> </t>
    </r>
    <r>
      <rPr>
        <b/>
        <sz val="14"/>
        <rFont val="Calibri"/>
        <charset val="134"/>
        <scheme val="minor"/>
      </rPr>
      <t>4/5/6</t>
    </r>
  </si>
  <si>
    <t>Proposed Norm</t>
  </si>
  <si>
    <t>Payout on EMI Collxn</t>
  </si>
  <si>
    <t>180-360 DPD</t>
  </si>
  <si>
    <t>Cash Collection against Settlement %(For cases&gt; Rs 1.50 lacs POS)</t>
  </si>
  <si>
    <t>&gt;4%to&lt;5%</t>
  </si>
  <si>
    <t>&lt;30%</t>
  </si>
  <si>
    <t>&gt;5.19%to 7%</t>
  </si>
  <si>
    <t>30.1% to 50%</t>
  </si>
  <si>
    <t>&gt;=7.1%to 9%</t>
  </si>
  <si>
    <t>50.1%&gt;75%</t>
  </si>
  <si>
    <t>&lt;9 %-&lt;=10%</t>
  </si>
  <si>
    <t>75.1% to 99%</t>
  </si>
  <si>
    <t>&gt;10%</t>
  </si>
  <si>
    <t>&gt;100%</t>
  </si>
  <si>
    <t xml:space="preserve">If waiver &gt;50% then payout cannot be more than 5%. If Norm less than 4% then payout is restricted to 5%   </t>
  </si>
  <si>
    <t>EMI COLLECTION/PART PAYMENTS</t>
  </si>
  <si>
    <t>360-720 DPD</t>
  </si>
  <si>
    <t>720+ DPD</t>
  </si>
  <si>
    <t>30.1% to 45%</t>
  </si>
  <si>
    <t>45.1% to 60%</t>
  </si>
  <si>
    <t>60.1% to 75%</t>
  </si>
  <si>
    <t>&gt;75%</t>
  </si>
  <si>
    <t>ANY CASE 180+DPD BKT</t>
  </si>
  <si>
    <t>Cash Collection against Settlement %(For cases&lt;  Rs 1.50 lacs POS)</t>
  </si>
  <si>
    <t>&lt;50%</t>
  </si>
  <si>
    <t xml:space="preserve">FOS PAYOUT STRUCTURE </t>
  </si>
  <si>
    <t>SL NO</t>
  </si>
  <si>
    <t>PORTFOLIO NAME</t>
  </si>
  <si>
    <t>CATEGORY</t>
  </si>
  <si>
    <t>PAYOUT</t>
  </si>
  <si>
    <t>FUEL</t>
  </si>
  <si>
    <t>TATA CAPITAL BL/ PL (PRE APPROVED +NORMAL)</t>
  </si>
  <si>
    <t>BKT 1</t>
  </si>
  <si>
    <t>&lt;75%</t>
  </si>
  <si>
    <t>RS 50 PER CASE</t>
  </si>
  <si>
    <t>76% to 85%</t>
  </si>
  <si>
    <t>&gt;86%</t>
  </si>
  <si>
    <t>BKT 2</t>
  </si>
  <si>
    <t>&lt; 54%</t>
  </si>
  <si>
    <t>55% to 75%</t>
  </si>
  <si>
    <t>&gt;76%</t>
  </si>
  <si>
    <t>BKT 3</t>
  </si>
  <si>
    <t>&lt; 38%</t>
  </si>
  <si>
    <t>38% to 64%</t>
  </si>
  <si>
    <t>&gt;65%</t>
  </si>
  <si>
    <t>BKT 4</t>
  </si>
  <si>
    <t>&lt; 25%</t>
  </si>
  <si>
    <t>Rs 70 PER CASE</t>
  </si>
  <si>
    <t>25% to 33%</t>
  </si>
  <si>
    <t>&gt;34%</t>
  </si>
  <si>
    <t>BKT 5 +</t>
  </si>
  <si>
    <t>26%to 33%</t>
  </si>
  <si>
    <t>SETTLEMENT(BKT 1TO 3 POS RECOVERY%)</t>
  </si>
  <si>
    <t>&lt;60%</t>
  </si>
  <si>
    <t>60%to 100%</t>
  </si>
  <si>
    <t>FORECLOSURE</t>
  </si>
  <si>
    <t>SETTLEMENT(BKT4 to 6)</t>
  </si>
  <si>
    <t>&lt;9%</t>
  </si>
  <si>
    <t>SETTLEMENT(451 DPD TO 1170 DPD) POS REC %</t>
  </si>
  <si>
    <t>&lt;35%</t>
  </si>
  <si>
    <t>RS 100 PER CASE</t>
  </si>
  <si>
    <t>36%to 45%</t>
  </si>
  <si>
    <t>46% to 60%</t>
  </si>
  <si>
    <t>61% to 70%</t>
  </si>
  <si>
    <t>71% to 90%</t>
  </si>
  <si>
    <t>91% to 100%</t>
  </si>
  <si>
    <t>ONLY CASH COLL</t>
  </si>
  <si>
    <t>SETTLEMENT(1170+ DPD) POS REC %</t>
  </si>
  <si>
    <t>RENAULT NISSAN FINANCIAL SERVICES LTD</t>
  </si>
  <si>
    <t>ALL BKTS</t>
  </si>
  <si>
    <t>EMI COLLECTION</t>
  </si>
  <si>
    <t>KOTAK MAHINDRA BANK LTD</t>
  </si>
  <si>
    <t>WRITE OFF (WHEELS)</t>
  </si>
  <si>
    <t>&lt; Rs 1.00 lac</t>
  </si>
  <si>
    <t>Rs 1.01 lac to Rs 2.00 lacs</t>
  </si>
  <si>
    <t>Rs 2.01 lacs to Rs 3.00 lacs</t>
  </si>
  <si>
    <t>&gt; Rs 3.01 lacs</t>
  </si>
  <si>
    <t>IIFL FINANCE</t>
  </si>
  <si>
    <t>181 TO 360 DPD &gt; RS 1.50 LACS POS (POS VS RECOVERY%)</t>
  </si>
  <si>
    <t>&lt;45%</t>
  </si>
  <si>
    <t>45.10% to 55%</t>
  </si>
  <si>
    <t>55.10% to 80%</t>
  </si>
  <si>
    <t>80.10% to 100%</t>
  </si>
  <si>
    <t>EMI COLLECTIONS/PART PAYMENT</t>
  </si>
  <si>
    <t>360 to 720 DPD &gt; RS 1.50 LACS POS(POS VS RECOVERY%)</t>
  </si>
  <si>
    <t>45.1% to 75%</t>
  </si>
  <si>
    <t>&gt;75.10%</t>
  </si>
  <si>
    <t>720+ DPD &gt; RS 1.50 LACS POS( POS VS RECOVERY%)</t>
  </si>
  <si>
    <t>35.10% to 55%</t>
  </si>
  <si>
    <t>55.10% to 75%</t>
  </si>
  <si>
    <t>ANY CONTRACT 180+ DPD &lt; RS 1.50 LAC POS (POS VS RECOVERY%</t>
  </si>
  <si>
    <t>&lt; 50%</t>
  </si>
  <si>
    <t>50.10% to 75%</t>
  </si>
  <si>
    <t>&gt; 75.10%</t>
  </si>
  <si>
    <t>PAYTM</t>
  </si>
  <si>
    <t>91-180 DPD</t>
  </si>
  <si>
    <t>EMI COLL/PART PAYMENT/SETTLEMENT</t>
  </si>
  <si>
    <t>181-360 DPD</t>
  </si>
  <si>
    <t>360+DPD</t>
  </si>
  <si>
    <t>TATA CAPITAL  AUTO AND TW</t>
  </si>
  <si>
    <t>(NORMAL)&lt;  13%</t>
  </si>
  <si>
    <t>(NORMAL)14% to 20%</t>
  </si>
  <si>
    <t>(NORMAL) &gt;21%</t>
  </si>
  <si>
    <t>&lt;88%</t>
  </si>
  <si>
    <t>89% to 92%</t>
  </si>
  <si>
    <t>&gt;93%</t>
  </si>
  <si>
    <t>(NORMAL)&lt;  11%</t>
  </si>
  <si>
    <t>(NORMAL)12% to 15%</t>
  </si>
  <si>
    <t>(NORMAL) &gt;16%</t>
  </si>
  <si>
    <t>&lt; 65%</t>
  </si>
  <si>
    <t>51% to60%</t>
  </si>
  <si>
    <t>&gt;61%</t>
  </si>
  <si>
    <t>SETTLEMENT(450+ DPD) POS RECOVERY%</t>
  </si>
  <si>
    <t>AUTO</t>
  </si>
  <si>
    <t>EMI/PART PAYMENT</t>
  </si>
  <si>
    <t>BUCKET 1 (Stab)</t>
  </si>
  <si>
    <t>BUCKET 1 (Fresh)</t>
  </si>
  <si>
    <t>x</t>
  </si>
  <si>
    <t>BUCKET 2 (Stab)</t>
  </si>
  <si>
    <t>BUCKET 2 (Fresh)</t>
  </si>
  <si>
    <t>BUCKET 3 (Stab)</t>
  </si>
  <si>
    <t>BUCKET 3(Fresh)</t>
  </si>
  <si>
    <t>BUCKET 4</t>
  </si>
  <si>
    <t>BUCKET 1 GRID TW)</t>
  </si>
  <si>
    <t>Payout Grid (Nissan)</t>
  </si>
  <si>
    <t>Auto (KMBL)</t>
  </si>
  <si>
    <t>360-720DPD BKT(IFL WRITE OFF)Cash Collection against Settlement %(For cases&gt; Rs 1.50 lacs POS)</t>
  </si>
  <si>
    <t>(720+DPD)Cash Collection against Settlement %(For cases&gt; Rs 1.50 lacs POS)</t>
  </si>
  <si>
    <t>City_Category (PAYTM)</t>
  </si>
  <si>
    <t>n</t>
  </si>
  <si>
    <t>All Should be of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</si>
</sst>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yy"/>
  </numFmts>
  <fonts count="58">
    <font>
      <sz val="11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theme="0"/>
      <name val="Calibri"/>
      <charset val="20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204"/>
      <scheme val="minor"/>
    </font>
    <font>
      <b/>
      <i/>
      <sz val="9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00"/>
      <name val="Calibri"/>
      <charset val="204"/>
      <scheme val="minor"/>
    </font>
    <font>
      <b/>
      <sz val="9"/>
      <color rgb="FF000000"/>
      <name val="Calibri"/>
      <charset val="204"/>
      <scheme val="minor"/>
    </font>
    <font>
      <b/>
      <sz val="9.5"/>
      <color theme="0"/>
      <name val="Calibri"/>
      <charset val="134"/>
      <scheme val="minor"/>
    </font>
    <font>
      <b/>
      <sz val="9"/>
      <color rgb="FF2222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4"/>
      <name val="Calibri"/>
      <charset val="134"/>
      <scheme val="minor"/>
    </font>
    <font>
      <sz val="14"/>
      <color rgb="FF000000"/>
      <name val="Calibri"/>
      <charset val="204"/>
      <scheme val="minor"/>
    </font>
    <font>
      <b/>
      <sz val="14"/>
      <color rgb="FF000000"/>
      <name val="Calibri"/>
      <charset val="204"/>
      <scheme val="minor"/>
    </font>
    <font>
      <b/>
      <sz val="14"/>
      <color rgb="FF000000"/>
      <name val="Calibri"/>
      <charset val="134"/>
      <scheme val="minor"/>
    </font>
    <font>
      <sz val="9.5"/>
      <color rgb="FF222222"/>
      <name val="Calibri"/>
      <charset val="134"/>
      <scheme val="minor"/>
    </font>
    <font>
      <sz val="10.5"/>
      <color rgb="FF000000"/>
      <name val="Calibri"/>
      <charset val="134"/>
      <scheme val="minor"/>
    </font>
    <font>
      <b/>
      <sz val="9.5"/>
      <color rgb="FF222222"/>
      <name val="Calibri"/>
      <charset val="134"/>
      <scheme val="minor"/>
    </font>
    <font>
      <b/>
      <sz val="10.5"/>
      <color rgb="FF000000"/>
      <name val="Calibri"/>
      <charset val="134"/>
      <scheme val="minor"/>
    </font>
    <font>
      <b/>
      <sz val="12"/>
      <color rgb="FF222222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0"/>
      <color rgb="FF000000"/>
      <name val="Calibri"/>
      <charset val="204"/>
      <scheme val="minor"/>
    </font>
    <font>
      <b/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0"/>
      <name val="Cambria"/>
      <charset val="134"/>
    </font>
    <font>
      <b/>
      <sz val="10"/>
      <name val="Cambria"/>
      <charset val="134"/>
    </font>
    <font>
      <b/>
      <sz val="10"/>
      <color rgb="FF000000"/>
      <name val="Cambria"/>
      <charset val="134"/>
    </font>
    <font>
      <sz val="10"/>
      <color theme="1"/>
      <name val="Cambria"/>
      <charset val="134"/>
    </font>
    <font>
      <b/>
      <sz val="10"/>
      <color theme="1"/>
      <name val="Cambria"/>
      <charset val="134"/>
    </font>
    <font>
      <b/>
      <sz val="10"/>
      <color rgb="FFFF0000"/>
      <name val="Cambria"/>
      <charset val="134"/>
    </font>
    <font>
      <sz val="10"/>
      <name val="Cambria"/>
      <charset val="134"/>
    </font>
    <font>
      <b/>
      <sz val="11"/>
      <color rgb="FFFFFFFF"/>
      <name val="Calibri"/>
      <charset val="134"/>
      <scheme val="minor"/>
    </font>
    <font>
      <sz val="8"/>
      <color theme="1"/>
      <name val="Cambria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b/>
      <i/>
      <sz val="9"/>
      <color rgb="FF1F497D"/>
      <name val="Calibri"/>
      <charset val="134"/>
      <scheme val="minor"/>
    </font>
    <font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/>
        <bgColor rgb="FFB8CCE4"/>
      </patternFill>
    </fill>
    <fill>
      <patternFill patternType="solid">
        <fgColor theme="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8E9E8"/>
        <bgColor indexed="64"/>
      </patternFill>
    </fill>
    <fill>
      <patternFill patternType="solid">
        <fgColor rgb="FFE7E9E8"/>
        <bgColor indexed="64"/>
      </patternFill>
    </fill>
    <fill>
      <patternFill patternType="solid">
        <fgColor rgb="FFD7D8D8"/>
        <bgColor indexed="64"/>
      </patternFill>
    </fill>
    <fill>
      <patternFill patternType="solid">
        <fgColor rgb="FFD0D1D0"/>
        <bgColor indexed="64"/>
      </patternFill>
    </fill>
    <fill>
      <patternFill patternType="solid">
        <fgColor rgb="FFD3D5D4"/>
        <bgColor indexed="64"/>
      </patternFill>
    </fill>
    <fill>
      <patternFill patternType="solid">
        <fgColor rgb="FFD3D4D3"/>
        <bgColor indexed="64"/>
      </patternFill>
    </fill>
    <fill>
      <patternFill patternType="solid">
        <fgColor rgb="FFCFD1D0"/>
        <bgColor indexed="64"/>
      </patternFill>
    </fill>
    <fill>
      <patternFill patternType="solid">
        <fgColor rgb="FFCCCECD"/>
        <bgColor indexed="64"/>
      </patternFill>
    </fill>
    <fill>
      <patternFill patternType="solid">
        <fgColor rgb="FFE7E8E8"/>
        <bgColor indexed="64"/>
      </patternFill>
    </fill>
    <fill>
      <patternFill patternType="solid">
        <fgColor rgb="FFE7E8E7"/>
        <bgColor indexed="64"/>
      </patternFill>
    </fill>
    <fill>
      <patternFill patternType="solid">
        <fgColor rgb="FFE4E6E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rgb="FFB8CCE4"/>
      </patternFill>
    </fill>
    <fill>
      <patternFill patternType="solid">
        <fgColor theme="4" tint="0.39994506668294322"/>
        <bgColor rgb="FFB8CCE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053C6D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53" fillId="0" borderId="0"/>
    <xf numFmtId="0" fontId="49" fillId="0" borderId="0"/>
    <xf numFmtId="0" fontId="50" fillId="0" borderId="0"/>
    <xf numFmtId="9" fontId="50" fillId="0" borderId="0" applyFont="0" applyFill="0" applyBorder="0" applyAlignment="0" applyProtection="0"/>
    <xf numFmtId="0" fontId="53" fillId="0" borderId="0"/>
  </cellStyleXfs>
  <cellXfs count="369">
    <xf numFmtId="0" fontId="0" fillId="0" borderId="0" xfId="0">
      <alignment vertical="center"/>
    </xf>
    <xf numFmtId="0" fontId="1" fillId="2" borderId="1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left" vertical="center"/>
    </xf>
    <xf numFmtId="0" fontId="1" fillId="2" borderId="3" xfId="1" applyFont="1" applyFill="1" applyBorder="1" applyAlignment="1">
      <alignment horizontal="left" vertical="center"/>
    </xf>
    <xf numFmtId="0" fontId="1" fillId="3" borderId="3" xfId="3" applyFont="1" applyFill="1" applyBorder="1" applyAlignment="1">
      <alignment horizontal="left"/>
    </xf>
    <xf numFmtId="9" fontId="2" fillId="4" borderId="3" xfId="4" applyFont="1" applyFill="1" applyBorder="1" applyAlignment="1">
      <alignment horizontal="left" vertical="center"/>
    </xf>
    <xf numFmtId="10" fontId="3" fillId="0" borderId="3" xfId="4" applyNumberFormat="1" applyFont="1" applyBorder="1" applyAlignment="1">
      <alignment horizontal="left"/>
    </xf>
    <xf numFmtId="9" fontId="2" fillId="4" borderId="4" xfId="4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10" fontId="3" fillId="0" borderId="5" xfId="4" applyNumberFormat="1" applyFont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9" fontId="3" fillId="0" borderId="3" xfId="0" applyNumberFormat="1" applyFont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left"/>
    </xf>
    <xf numFmtId="9" fontId="5" fillId="7" borderId="3" xfId="0" applyNumberFormat="1" applyFont="1" applyFill="1" applyBorder="1" applyAlignment="1">
      <alignment horizontal="left"/>
    </xf>
    <xf numFmtId="10" fontId="5" fillId="7" borderId="3" xfId="0" applyNumberFormat="1" applyFont="1" applyFill="1" applyBorder="1" applyAlignment="1">
      <alignment horizontal="left"/>
    </xf>
    <xf numFmtId="9" fontId="5" fillId="7" borderId="3" xfId="0" applyNumberFormat="1" applyFont="1" applyFill="1" applyBorder="1" applyAlignment="1">
      <alignment horizontal="left" vertical="center"/>
    </xf>
    <xf numFmtId="10" fontId="5" fillId="7" borderId="3" xfId="0" applyNumberFormat="1" applyFont="1" applyFill="1" applyBorder="1" applyAlignment="1">
      <alignment horizontal="left" vertical="center"/>
    </xf>
    <xf numFmtId="0" fontId="1" fillId="2" borderId="5" xfId="1" applyFont="1" applyFill="1" applyBorder="1" applyAlignment="1">
      <alignment horizontal="left" vertical="center"/>
    </xf>
    <xf numFmtId="9" fontId="2" fillId="4" borderId="1" xfId="4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9" fontId="2" fillId="4" borderId="5" xfId="4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0" fontId="3" fillId="0" borderId="0" xfId="0" applyFont="1" applyAlignment="1">
      <alignment vertical="center"/>
    </xf>
    <xf numFmtId="0" fontId="3" fillId="6" borderId="3" xfId="0" applyFont="1" applyFill="1" applyBorder="1" applyAlignment="1">
      <alignment vertical="center"/>
    </xf>
    <xf numFmtId="0" fontId="5" fillId="7" borderId="0" xfId="0" applyFont="1" applyFill="1" applyAlignment="1">
      <alignment vertical="center"/>
    </xf>
    <xf numFmtId="0" fontId="3" fillId="7" borderId="3" xfId="0" applyFont="1" applyFill="1" applyBorder="1" applyAlignment="1">
      <alignment horizontal="left" vertical="center"/>
    </xf>
    <xf numFmtId="10" fontId="3" fillId="7" borderId="3" xfId="0" applyNumberFormat="1" applyFont="1" applyFill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top" wrapText="1"/>
    </xf>
    <xf numFmtId="0" fontId="6" fillId="3" borderId="6" xfId="0" applyFont="1" applyFill="1" applyBorder="1" applyAlignment="1">
      <alignment wrapText="1"/>
    </xf>
    <xf numFmtId="0" fontId="8" fillId="8" borderId="6" xfId="0" applyFont="1" applyFill="1" applyBorder="1" applyAlignment="1"/>
    <xf numFmtId="0" fontId="9" fillId="7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left"/>
    </xf>
    <xf numFmtId="0" fontId="10" fillId="7" borderId="6" xfId="0" applyFont="1" applyFill="1" applyBorder="1" applyAlignment="1">
      <alignment horizontal="left" vertical="top"/>
    </xf>
    <xf numFmtId="9" fontId="9" fillId="7" borderId="6" xfId="0" applyNumberFormat="1" applyFont="1" applyFill="1" applyBorder="1" applyAlignment="1">
      <alignment horizontal="left"/>
    </xf>
    <xf numFmtId="0" fontId="4" fillId="9" borderId="7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horizontal="left"/>
    </xf>
    <xf numFmtId="9" fontId="2" fillId="7" borderId="3" xfId="0" applyNumberFormat="1" applyFont="1" applyFill="1" applyBorder="1" applyAlignment="1">
      <alignment horizontal="left"/>
    </xf>
    <xf numFmtId="0" fontId="11" fillId="7" borderId="3" xfId="0" applyFont="1" applyFill="1" applyBorder="1" applyAlignment="1">
      <alignment horizontal="left" vertical="center"/>
    </xf>
    <xf numFmtId="164" fontId="2" fillId="7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10" fontId="2" fillId="0" borderId="3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/>
    </xf>
    <xf numFmtId="10" fontId="2" fillId="0" borderId="3" xfId="0" applyNumberFormat="1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12" fillId="7" borderId="0" xfId="0" applyFont="1" applyFill="1">
      <alignment vertical="center"/>
    </xf>
    <xf numFmtId="10" fontId="9" fillId="7" borderId="6" xfId="0" applyNumberFormat="1" applyFont="1" applyFill="1" applyBorder="1" applyAlignment="1">
      <alignment horizontal="left"/>
    </xf>
    <xf numFmtId="0" fontId="13" fillId="0" borderId="0" xfId="0" applyFont="1" applyFill="1" applyBorder="1" applyAlignment="1">
      <alignment vertical="top" wrapText="1"/>
    </xf>
    <xf numFmtId="0" fontId="14" fillId="0" borderId="3" xfId="0" applyFont="1" applyFill="1" applyBorder="1" applyAlignment="1">
      <alignment horizontal="left" vertical="top"/>
    </xf>
    <xf numFmtId="10" fontId="14" fillId="0" borderId="3" xfId="0" applyNumberFormat="1" applyFont="1" applyFill="1" applyBorder="1" applyAlignment="1">
      <alignment horizontal="left" vertical="top"/>
    </xf>
    <xf numFmtId="9" fontId="3" fillId="7" borderId="3" xfId="0" applyNumberFormat="1" applyFont="1" applyFill="1" applyBorder="1" applyAlignment="1">
      <alignment horizontal="left" vertical="center"/>
    </xf>
    <xf numFmtId="0" fontId="15" fillId="3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vertical="center" wrapText="1"/>
    </xf>
    <xf numFmtId="164" fontId="16" fillId="7" borderId="3" xfId="0" applyNumberFormat="1" applyFont="1" applyFill="1" applyBorder="1" applyAlignment="1">
      <alignment horizontal="left" vertical="center" wrapText="1"/>
    </xf>
    <xf numFmtId="10" fontId="16" fillId="7" borderId="3" xfId="0" applyNumberFormat="1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0" fillId="10" borderId="3" xfId="0" applyFont="1" applyFill="1" applyBorder="1" applyAlignment="1">
      <alignment horizontal="left" vertical="center"/>
    </xf>
    <xf numFmtId="9" fontId="20" fillId="10" borderId="3" xfId="0" applyNumberFormat="1" applyFont="1" applyFill="1" applyBorder="1" applyAlignment="1">
      <alignment horizontal="left" vertical="center"/>
    </xf>
    <xf numFmtId="0" fontId="19" fillId="11" borderId="3" xfId="0" applyFont="1" applyFill="1" applyBorder="1" applyAlignment="1">
      <alignment horizontal="left" vertical="center"/>
    </xf>
    <xf numFmtId="0" fontId="19" fillId="11" borderId="3" xfId="0" applyFont="1" applyFill="1" applyBorder="1" applyAlignment="1">
      <alignment horizontal="left" vertical="center" wrapText="1"/>
    </xf>
    <xf numFmtId="0" fontId="19" fillId="12" borderId="3" xfId="0" applyFont="1" applyFill="1" applyBorder="1" applyAlignment="1">
      <alignment horizontal="left" vertical="center"/>
    </xf>
    <xf numFmtId="0" fontId="20" fillId="13" borderId="3" xfId="0" applyFont="1" applyFill="1" applyBorder="1" applyAlignment="1">
      <alignment horizontal="left" vertical="center" wrapText="1"/>
    </xf>
    <xf numFmtId="0" fontId="20" fillId="13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19" fillId="12" borderId="3" xfId="0" applyNumberFormat="1" applyFont="1" applyFill="1" applyBorder="1" applyAlignment="1">
      <alignment horizontal="left" vertical="center"/>
    </xf>
    <xf numFmtId="9" fontId="20" fillId="13" borderId="3" xfId="0" applyNumberFormat="1" applyFont="1" applyFill="1" applyBorder="1" applyAlignment="1">
      <alignment horizontal="left" vertical="center"/>
    </xf>
    <xf numFmtId="0" fontId="21" fillId="14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left" vertical="center"/>
    </xf>
    <xf numFmtId="0" fontId="20" fillId="14" borderId="3" xfId="0" applyFont="1" applyFill="1" applyBorder="1" applyAlignment="1">
      <alignment horizontal="left" vertical="center"/>
    </xf>
    <xf numFmtId="9" fontId="20" fillId="9" borderId="3" xfId="0" applyNumberFormat="1" applyFont="1" applyFill="1" applyBorder="1" applyAlignment="1">
      <alignment horizontal="left" vertical="center"/>
    </xf>
    <xf numFmtId="1" fontId="20" fillId="9" borderId="3" xfId="0" applyNumberFormat="1" applyFont="1" applyFill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27" fillId="0" borderId="3" xfId="0" applyFont="1" applyBorder="1" applyAlignment="1">
      <alignment horizontal="left" vertical="center"/>
    </xf>
    <xf numFmtId="0" fontId="28" fillId="16" borderId="3" xfId="0" applyFont="1" applyFill="1" applyBorder="1" applyAlignment="1">
      <alignment horizontal="left" vertical="center" wrapText="1"/>
    </xf>
    <xf numFmtId="0" fontId="28" fillId="17" borderId="3" xfId="0" applyFont="1" applyFill="1" applyBorder="1" applyAlignment="1">
      <alignment horizontal="left" vertical="center" wrapText="1"/>
    </xf>
    <xf numFmtId="0" fontId="28" fillId="18" borderId="3" xfId="0" applyFont="1" applyFill="1" applyBorder="1" applyAlignment="1">
      <alignment horizontal="left" vertical="center" wrapText="1"/>
    </xf>
    <xf numFmtId="0" fontId="29" fillId="19" borderId="3" xfId="0" applyFont="1" applyFill="1" applyBorder="1" applyAlignment="1">
      <alignment horizontal="left" vertical="center" wrapText="1"/>
    </xf>
    <xf numFmtId="164" fontId="28" fillId="20" borderId="3" xfId="0" applyNumberFormat="1" applyFont="1" applyFill="1" applyBorder="1" applyAlignment="1">
      <alignment horizontal="left" vertical="center" wrapText="1"/>
    </xf>
    <xf numFmtId="10" fontId="28" fillId="0" borderId="3" xfId="0" applyNumberFormat="1" applyFont="1" applyBorder="1" applyAlignment="1">
      <alignment horizontal="left" vertical="center" wrapText="1"/>
    </xf>
    <xf numFmtId="0" fontId="28" fillId="20" borderId="3" xfId="0" applyFont="1" applyFill="1" applyBorder="1" applyAlignment="1">
      <alignment horizontal="left" vertical="center" wrapText="1"/>
    </xf>
    <xf numFmtId="0" fontId="28" fillId="19" borderId="3" xfId="0" applyFont="1" applyFill="1" applyBorder="1" applyAlignment="1">
      <alignment horizontal="left" vertical="center" wrapText="1"/>
    </xf>
    <xf numFmtId="0" fontId="30" fillId="21" borderId="3" xfId="0" applyFont="1" applyFill="1" applyBorder="1" applyAlignment="1">
      <alignment horizontal="left" vertical="center" wrapText="1"/>
    </xf>
    <xf numFmtId="10" fontId="30" fillId="21" borderId="3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22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9" fontId="28" fillId="12" borderId="3" xfId="0" applyNumberFormat="1" applyFont="1" applyFill="1" applyBorder="1" applyAlignment="1">
      <alignment horizontal="left" vertical="center" wrapText="1"/>
    </xf>
    <xf numFmtId="0" fontId="2" fillId="12" borderId="19" xfId="0" applyFont="1" applyFill="1" applyBorder="1" applyAlignment="1">
      <alignment horizontal="center" wrapText="1"/>
    </xf>
    <xf numFmtId="0" fontId="2" fillId="12" borderId="20" xfId="0" applyFont="1" applyFill="1" applyBorder="1" applyAlignment="1">
      <alignment horizontal="center" wrapText="1"/>
    </xf>
    <xf numFmtId="9" fontId="2" fillId="12" borderId="20" xfId="0" applyNumberFormat="1" applyFont="1" applyFill="1" applyBorder="1" applyAlignment="1">
      <alignment horizontal="center" wrapText="1"/>
    </xf>
    <xf numFmtId="0" fontId="31" fillId="0" borderId="19" xfId="0" applyFont="1" applyBorder="1" applyAlignment="1">
      <alignment wrapText="1"/>
    </xf>
    <xf numFmtId="0" fontId="11" fillId="15" borderId="20" xfId="0" applyFont="1" applyFill="1" applyBorder="1" applyAlignment="1">
      <alignment horizontal="center" vertical="center" wrapText="1"/>
    </xf>
    <xf numFmtId="164" fontId="31" fillId="0" borderId="20" xfId="0" applyNumberFormat="1" applyFont="1" applyBorder="1" applyAlignment="1">
      <alignment horizontal="center" vertical="center" wrapText="1"/>
    </xf>
    <xf numFmtId="9" fontId="31" fillId="0" borderId="20" xfId="0" applyNumberFormat="1" applyFont="1" applyBorder="1" applyAlignment="1">
      <alignment horizontal="right" wrapText="1"/>
    </xf>
    <xf numFmtId="0" fontId="35" fillId="0" borderId="0" xfId="0" applyFont="1">
      <alignment vertical="center"/>
    </xf>
    <xf numFmtId="0" fontId="13" fillId="26" borderId="6" xfId="0" applyFont="1" applyFill="1" applyBorder="1" applyAlignment="1">
      <alignment horizontal="left" vertical="top" wrapText="1"/>
    </xf>
    <xf numFmtId="0" fontId="34" fillId="30" borderId="6" xfId="0" applyFont="1" applyFill="1" applyBorder="1" applyAlignment="1">
      <alignment horizontal="left" wrapText="1"/>
    </xf>
    <xf numFmtId="0" fontId="32" fillId="0" borderId="6" xfId="0" applyFont="1" applyFill="1" applyBorder="1" applyAlignment="1">
      <alignment horizontal="left" vertical="top" wrapText="1"/>
    </xf>
    <xf numFmtId="0" fontId="32" fillId="21" borderId="6" xfId="0" applyFont="1" applyFill="1" applyBorder="1" applyAlignment="1">
      <alignment horizontal="left" vertical="top" wrapText="1"/>
    </xf>
    <xf numFmtId="0" fontId="34" fillId="0" borderId="6" xfId="0" applyFont="1" applyFill="1" applyBorder="1" applyAlignment="1">
      <alignment horizontal="left" wrapText="1" indent="1"/>
    </xf>
    <xf numFmtId="0" fontId="8" fillId="34" borderId="6" xfId="0" applyFont="1" applyFill="1" applyBorder="1" applyAlignment="1">
      <alignment horizontal="center" wrapText="1"/>
    </xf>
    <xf numFmtId="10" fontId="33" fillId="0" borderId="6" xfId="0" applyNumberFormat="1" applyFont="1" applyFill="1" applyBorder="1" applyAlignment="1">
      <alignment horizontal="center" wrapText="1"/>
    </xf>
    <xf numFmtId="10" fontId="33" fillId="21" borderId="6" xfId="0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7" fillId="0" borderId="3" xfId="0" applyFont="1" applyBorder="1" applyAlignment="1">
      <alignment horizontal="left" vertical="center" wrapText="1"/>
    </xf>
    <xf numFmtId="0" fontId="37" fillId="8" borderId="3" xfId="0" applyFont="1" applyFill="1" applyBorder="1" applyAlignment="1">
      <alignment horizontal="left" vertical="center" wrapText="1"/>
    </xf>
    <xf numFmtId="0" fontId="38" fillId="0" borderId="3" xfId="0" applyFont="1" applyBorder="1" applyAlignment="1">
      <alignment horizontal="left"/>
    </xf>
    <xf numFmtId="9" fontId="38" fillId="0" borderId="3" xfId="0" applyNumberFormat="1" applyFont="1" applyBorder="1" applyAlignment="1">
      <alignment horizontal="left"/>
    </xf>
    <xf numFmtId="10" fontId="38" fillId="0" borderId="3" xfId="0" applyNumberFormat="1" applyFont="1" applyBorder="1" applyAlignment="1">
      <alignment horizontal="left"/>
    </xf>
    <xf numFmtId="9" fontId="37" fillId="35" borderId="3" xfId="0" applyNumberFormat="1" applyFont="1" applyFill="1" applyBorder="1" applyAlignment="1">
      <alignment horizontal="left" vertical="center"/>
    </xf>
    <xf numFmtId="10" fontId="38" fillId="0" borderId="3" xfId="0" applyNumberFormat="1" applyFont="1" applyBorder="1" applyAlignment="1">
      <alignment horizontal="left" vertical="center"/>
    </xf>
    <xf numFmtId="10" fontId="37" fillId="21" borderId="3" xfId="0" applyNumberFormat="1" applyFont="1" applyFill="1" applyBorder="1" applyAlignment="1">
      <alignment horizontal="left" vertical="center"/>
    </xf>
    <xf numFmtId="0" fontId="37" fillId="35" borderId="3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8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37" borderId="19" xfId="0" applyFont="1" applyFill="1" applyBorder="1" applyAlignment="1">
      <alignment horizontal="center" vertical="center" wrapText="1"/>
    </xf>
    <xf numFmtId="0" fontId="2" fillId="38" borderId="2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39" borderId="19" xfId="0" applyFont="1" applyFill="1" applyBorder="1" applyAlignment="1">
      <alignment vertical="center" wrapText="1"/>
    </xf>
    <xf numFmtId="10" fontId="2" fillId="12" borderId="20" xfId="0" applyNumberFormat="1" applyFont="1" applyFill="1" applyBorder="1" applyAlignment="1">
      <alignment horizontal="center" vertical="center" wrapText="1"/>
    </xf>
    <xf numFmtId="10" fontId="31" fillId="12" borderId="2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9" fontId="38" fillId="0" borderId="3" xfId="0" applyNumberFormat="1" applyFont="1" applyBorder="1" applyAlignment="1">
      <alignment horizontal="left" vertical="center"/>
    </xf>
    <xf numFmtId="10" fontId="38" fillId="39" borderId="3" xfId="0" applyNumberFormat="1" applyFont="1" applyFill="1" applyBorder="1" applyAlignment="1">
      <alignment horizontal="left" vertical="center"/>
    </xf>
    <xf numFmtId="9" fontId="37" fillId="0" borderId="3" xfId="0" applyNumberFormat="1" applyFont="1" applyBorder="1" applyAlignment="1">
      <alignment horizontal="left" vertical="center"/>
    </xf>
    <xf numFmtId="10" fontId="37" fillId="0" borderId="3" xfId="0" applyNumberFormat="1" applyFont="1" applyBorder="1" applyAlignment="1">
      <alignment horizontal="left" vertical="center"/>
    </xf>
    <xf numFmtId="10" fontId="0" fillId="0" borderId="3" xfId="0" applyNumberFormat="1" applyFont="1" applyBorder="1" applyAlignment="1">
      <alignment horizontal="left" vertical="center"/>
    </xf>
    <xf numFmtId="10" fontId="19" fillId="0" borderId="3" xfId="0" applyNumberFormat="1" applyFont="1" applyBorder="1" applyAlignment="1">
      <alignment horizontal="left" vertical="center"/>
    </xf>
    <xf numFmtId="0" fontId="19" fillId="21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left" vertical="center" wrapText="1"/>
    </xf>
    <xf numFmtId="9" fontId="31" fillId="7" borderId="3" xfId="0" applyNumberFormat="1" applyFont="1" applyFill="1" applyBorder="1" applyAlignment="1">
      <alignment horizontal="left" vertical="center" wrapText="1"/>
    </xf>
    <xf numFmtId="0" fontId="2" fillId="21" borderId="3" xfId="0" applyFont="1" applyFill="1" applyBorder="1" applyAlignment="1">
      <alignment horizontal="left" vertical="center" wrapText="1"/>
    </xf>
    <xf numFmtId="9" fontId="2" fillId="21" borderId="3" xfId="0" applyNumberFormat="1" applyFont="1" applyFill="1" applyBorder="1" applyAlignment="1">
      <alignment horizontal="left" vertical="center" wrapText="1"/>
    </xf>
    <xf numFmtId="9" fontId="2" fillId="7" borderId="3" xfId="0" applyNumberFormat="1" applyFont="1" applyFill="1" applyBorder="1" applyAlignment="1">
      <alignment horizontal="left" vertical="center" wrapText="1"/>
    </xf>
    <xf numFmtId="0" fontId="41" fillId="41" borderId="3" xfId="1" applyFont="1" applyFill="1" applyBorder="1" applyAlignment="1">
      <alignment horizontal="center" vertical="center"/>
    </xf>
    <xf numFmtId="0" fontId="41" fillId="42" borderId="3" xfId="3" applyFont="1" applyFill="1" applyBorder="1" applyAlignment="1">
      <alignment horizontal="center"/>
    </xf>
    <xf numFmtId="9" fontId="42" fillId="4" borderId="3" xfId="4" applyFont="1" applyFill="1" applyBorder="1" applyAlignment="1">
      <alignment horizontal="center" vertical="center"/>
    </xf>
    <xf numFmtId="10" fontId="43" fillId="0" borderId="3" xfId="4" applyNumberFormat="1" applyFont="1" applyBorder="1"/>
    <xf numFmtId="9" fontId="42" fillId="4" borderId="4" xfId="4" applyFont="1" applyFill="1" applyBorder="1" applyAlignment="1">
      <alignment horizontal="center" vertical="center"/>
    </xf>
    <xf numFmtId="10" fontId="43" fillId="0" borderId="5" xfId="4" applyNumberFormat="1" applyFont="1" applyBorder="1"/>
    <xf numFmtId="0" fontId="43" fillId="0" borderId="0" xfId="0" applyFont="1" applyFill="1" applyAlignment="1"/>
    <xf numFmtId="10" fontId="43" fillId="0" borderId="0" xfId="0" applyNumberFormat="1" applyFont="1" applyFill="1" applyAlignment="1"/>
    <xf numFmtId="9" fontId="43" fillId="0" borderId="0" xfId="0" applyNumberFormat="1" applyFont="1" applyFill="1" applyAlignment="1"/>
    <xf numFmtId="0" fontId="44" fillId="0" borderId="0" xfId="0" applyFont="1" applyFill="1" applyAlignment="1"/>
    <xf numFmtId="10" fontId="44" fillId="0" borderId="3" xfId="4" applyNumberFormat="1" applyFont="1" applyBorder="1"/>
    <xf numFmtId="0" fontId="44" fillId="0" borderId="3" xfId="0" applyFont="1" applyFill="1" applyBorder="1" applyAlignment="1">
      <alignment vertical="center"/>
    </xf>
    <xf numFmtId="0" fontId="44" fillId="0" borderId="3" xfId="0" applyFont="1" applyFill="1" applyBorder="1" applyAlignment="1">
      <alignment vertical="center" wrapText="1"/>
    </xf>
    <xf numFmtId="0" fontId="43" fillId="0" borderId="3" xfId="0" applyFont="1" applyFill="1" applyBorder="1" applyAlignment="1">
      <alignment vertical="center"/>
    </xf>
    <xf numFmtId="9" fontId="43" fillId="0" borderId="3" xfId="0" applyNumberFormat="1" applyFont="1" applyFill="1" applyBorder="1" applyAlignment="1">
      <alignment vertical="center"/>
    </xf>
    <xf numFmtId="0" fontId="43" fillId="0" borderId="0" xfId="0" applyFont="1" applyFill="1" applyAlignment="1">
      <alignment vertical="center"/>
    </xf>
    <xf numFmtId="10" fontId="43" fillId="0" borderId="3" xfId="0" applyNumberFormat="1" applyFont="1" applyFill="1" applyBorder="1" applyAlignment="1">
      <alignment vertical="center"/>
    </xf>
    <xf numFmtId="0" fontId="45" fillId="12" borderId="25" xfId="1" applyFont="1" applyFill="1" applyBorder="1" applyAlignment="1">
      <alignment horizontal="left"/>
    </xf>
    <xf numFmtId="0" fontId="45" fillId="12" borderId="29" xfId="1" applyFont="1" applyFill="1" applyBorder="1" applyAlignment="1">
      <alignment horizontal="left"/>
    </xf>
    <xf numFmtId="0" fontId="45" fillId="12" borderId="3" xfId="1" applyFont="1" applyFill="1" applyBorder="1" applyAlignment="1">
      <alignment horizontal="center"/>
    </xf>
    <xf numFmtId="9" fontId="46" fillId="0" borderId="29" xfId="2" applyNumberFormat="1" applyFont="1" applyBorder="1"/>
    <xf numFmtId="10" fontId="43" fillId="0" borderId="3" xfId="1" applyNumberFormat="1" applyFont="1" applyBorder="1" applyAlignment="1">
      <alignment horizontal="center"/>
    </xf>
    <xf numFmtId="0" fontId="46" fillId="0" borderId="29" xfId="2" applyFont="1" applyBorder="1"/>
    <xf numFmtId="0" fontId="46" fillId="0" borderId="30" xfId="2" applyFont="1" applyBorder="1"/>
    <xf numFmtId="10" fontId="43" fillId="0" borderId="31" xfId="1" applyNumberFormat="1" applyFont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47" fillId="44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9" fontId="0" fillId="0" borderId="3" xfId="0" applyNumberFormat="1" applyFont="1" applyBorder="1" applyAlignment="1">
      <alignment horizontal="center" vertical="center" wrapText="1"/>
    </xf>
    <xf numFmtId="9" fontId="0" fillId="0" borderId="3" xfId="0" applyNumberFormat="1" applyFont="1" applyBorder="1" applyAlignment="1">
      <alignment horizontal="right" vertical="center" wrapText="1"/>
    </xf>
    <xf numFmtId="0" fontId="48" fillId="0" borderId="0" xfId="5" applyFont="1"/>
    <xf numFmtId="10" fontId="38" fillId="7" borderId="3" xfId="0" applyNumberFormat="1" applyFont="1" applyFill="1" applyBorder="1" applyAlignment="1">
      <alignment horizontal="left" vertical="center"/>
    </xf>
    <xf numFmtId="0" fontId="54" fillId="0" borderId="3" xfId="0" applyFont="1" applyFill="1" applyBorder="1" applyAlignment="1">
      <alignment horizontal="center" vertical="center"/>
    </xf>
    <xf numFmtId="0" fontId="54" fillId="12" borderId="3" xfId="0" applyFont="1" applyFill="1" applyBorder="1" applyAlignment="1">
      <alignment horizontal="center" vertical="center"/>
    </xf>
    <xf numFmtId="0" fontId="54" fillId="12" borderId="3" xfId="0" applyFont="1" applyFill="1" applyBorder="1" applyAlignment="1">
      <alignment vertical="center"/>
    </xf>
    <xf numFmtId="0" fontId="55" fillId="0" borderId="3" xfId="0" applyFont="1" applyFill="1" applyBorder="1" applyAlignment="1">
      <alignment horizontal="center" vertical="center"/>
    </xf>
    <xf numFmtId="9" fontId="55" fillId="0" borderId="3" xfId="0" applyNumberFormat="1" applyFont="1" applyFill="1" applyBorder="1" applyAlignment="1">
      <alignment horizontal="center" vertical="center"/>
    </xf>
    <xf numFmtId="0" fontId="56" fillId="0" borderId="3" xfId="0" applyFont="1" applyFill="1" applyBorder="1" applyAlignment="1">
      <alignment vertical="center"/>
    </xf>
    <xf numFmtId="10" fontId="55" fillId="0" borderId="3" xfId="0" applyNumberFormat="1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left" vertical="center"/>
    </xf>
    <xf numFmtId="9" fontId="19" fillId="21" borderId="3" xfId="0" applyNumberFormat="1" applyFont="1" applyFill="1" applyBorder="1" applyAlignment="1">
      <alignment horizontal="left" vertical="center"/>
    </xf>
    <xf numFmtId="10" fontId="19" fillId="21" borderId="3" xfId="0" applyNumberFormat="1" applyFont="1" applyFill="1" applyBorder="1" applyAlignment="1">
      <alignment horizontal="left" vertical="center"/>
    </xf>
    <xf numFmtId="0" fontId="19" fillId="45" borderId="3" xfId="0" applyFont="1" applyFill="1" applyBorder="1">
      <alignment vertical="center"/>
    </xf>
    <xf numFmtId="0" fontId="40" fillId="40" borderId="1" xfId="1" applyFont="1" applyFill="1" applyBorder="1" applyAlignment="1">
      <alignment horizontal="center" vertical="center"/>
    </xf>
    <xf numFmtId="0" fontId="40" fillId="40" borderId="2" xfId="1" applyFont="1" applyFill="1" applyBorder="1" applyAlignment="1">
      <alignment horizontal="center" vertical="center"/>
    </xf>
    <xf numFmtId="0" fontId="40" fillId="40" borderId="5" xfId="1" applyFont="1" applyFill="1" applyBorder="1" applyAlignment="1">
      <alignment horizontal="center" vertical="center"/>
    </xf>
    <xf numFmtId="0" fontId="41" fillId="41" borderId="3" xfId="1" applyFont="1" applyFill="1" applyBorder="1" applyAlignment="1">
      <alignment horizontal="center" vertical="center"/>
    </xf>
    <xf numFmtId="0" fontId="41" fillId="41" borderId="1" xfId="1" applyFont="1" applyFill="1" applyBorder="1" applyAlignment="1">
      <alignment horizontal="center" vertical="center"/>
    </xf>
    <xf numFmtId="0" fontId="41" fillId="41" borderId="2" xfId="1" applyFont="1" applyFill="1" applyBorder="1" applyAlignment="1">
      <alignment horizontal="center" vertical="center"/>
    </xf>
    <xf numFmtId="0" fontId="41" fillId="41" borderId="5" xfId="1" applyFont="1" applyFill="1" applyBorder="1" applyAlignment="1">
      <alignment horizontal="center" vertical="center"/>
    </xf>
    <xf numFmtId="9" fontId="42" fillId="4" borderId="1" xfId="4" applyFont="1" applyFill="1" applyBorder="1" applyAlignment="1">
      <alignment horizontal="center" vertical="center"/>
    </xf>
    <xf numFmtId="9" fontId="42" fillId="4" borderId="5" xfId="4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 vertical="center"/>
    </xf>
    <xf numFmtId="0" fontId="45" fillId="12" borderId="26" xfId="1" applyFont="1" applyFill="1" applyBorder="1" applyAlignment="1">
      <alignment horizontal="center"/>
    </xf>
    <xf numFmtId="0" fontId="45" fillId="12" borderId="27" xfId="1" applyFont="1" applyFill="1" applyBorder="1" applyAlignment="1">
      <alignment horizontal="center"/>
    </xf>
    <xf numFmtId="0" fontId="45" fillId="12" borderId="28" xfId="1" applyFont="1" applyFill="1" applyBorder="1" applyAlignment="1">
      <alignment horizontal="center"/>
    </xf>
    <xf numFmtId="0" fontId="54" fillId="0" borderId="1" xfId="0" applyFont="1" applyFill="1" applyBorder="1" applyAlignment="1">
      <alignment horizontal="center" vertical="center"/>
    </xf>
    <xf numFmtId="0" fontId="54" fillId="0" borderId="5" xfId="0" applyFont="1" applyFill="1" applyBorder="1" applyAlignment="1">
      <alignment horizontal="center" vertical="center"/>
    </xf>
    <xf numFmtId="0" fontId="54" fillId="0" borderId="2" xfId="0" applyFont="1" applyFill="1" applyBorder="1" applyAlignment="1">
      <alignment horizontal="center" vertical="center"/>
    </xf>
    <xf numFmtId="0" fontId="47" fillId="43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2" fillId="36" borderId="23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37" fillId="12" borderId="21" xfId="0" applyFont="1" applyFill="1" applyBorder="1" applyAlignment="1">
      <alignment horizontal="center" vertical="center"/>
    </xf>
    <xf numFmtId="0" fontId="37" fillId="12" borderId="22" xfId="0" applyFont="1" applyFill="1" applyBorder="1" applyAlignment="1">
      <alignment horizontal="center" vertical="center"/>
    </xf>
    <xf numFmtId="0" fontId="37" fillId="12" borderId="24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7" fillId="12" borderId="5" xfId="0" applyFont="1" applyFill="1" applyBorder="1" applyAlignment="1">
      <alignment horizontal="center" vertical="center"/>
    </xf>
    <xf numFmtId="0" fontId="39" fillId="21" borderId="3" xfId="0" applyFont="1" applyFill="1" applyBorder="1" applyAlignment="1">
      <alignment horizontal="center" wrapText="1"/>
    </xf>
    <xf numFmtId="0" fontId="37" fillId="15" borderId="1" xfId="0" applyFont="1" applyFill="1" applyBorder="1" applyAlignment="1">
      <alignment horizontal="center" vertical="center"/>
    </xf>
    <xf numFmtId="0" fontId="37" fillId="15" borderId="2" xfId="0" applyFont="1" applyFill="1" applyBorder="1" applyAlignment="1">
      <alignment horizontal="center" vertical="center"/>
    </xf>
    <xf numFmtId="0" fontId="37" fillId="15" borderId="5" xfId="0" applyFont="1" applyFill="1" applyBorder="1" applyAlignment="1">
      <alignment horizontal="center" vertical="center"/>
    </xf>
    <xf numFmtId="0" fontId="37" fillId="12" borderId="3" xfId="0" applyFont="1" applyFill="1" applyBorder="1" applyAlignment="1">
      <alignment horizontal="center" vertical="center"/>
    </xf>
    <xf numFmtId="0" fontId="37" fillId="15" borderId="3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32" fillId="8" borderId="6" xfId="0" applyFont="1" applyFill="1" applyBorder="1" applyAlignment="1">
      <alignment horizontal="center" vertical="center" wrapText="1"/>
    </xf>
    <xf numFmtId="0" fontId="32" fillId="8" borderId="6" xfId="0" applyFont="1" applyFill="1" applyBorder="1" applyAlignment="1">
      <alignment horizontal="left" vertical="top" wrapText="1"/>
    </xf>
    <xf numFmtId="0" fontId="8" fillId="8" borderId="6" xfId="0" applyFont="1" applyFill="1" applyBorder="1" applyAlignment="1">
      <alignment horizontal="center" wrapText="1"/>
    </xf>
    <xf numFmtId="0" fontId="32" fillId="8" borderId="6" xfId="0" applyFont="1" applyFill="1" applyBorder="1" applyAlignment="1">
      <alignment horizontal="center" wrapText="1"/>
    </xf>
    <xf numFmtId="0" fontId="8" fillId="23" borderId="6" xfId="0" applyFont="1" applyFill="1" applyBorder="1" applyAlignment="1">
      <alignment horizontal="center" wrapText="1"/>
    </xf>
    <xf numFmtId="0" fontId="32" fillId="23" borderId="6" xfId="0" applyFont="1" applyFill="1" applyBorder="1" applyAlignment="1">
      <alignment horizontal="center" wrapText="1"/>
    </xf>
    <xf numFmtId="0" fontId="8" fillId="31" borderId="6" xfId="0" applyFont="1" applyFill="1" applyBorder="1" applyAlignment="1">
      <alignment horizontal="center" wrapText="1"/>
    </xf>
    <xf numFmtId="0" fontId="32" fillId="31" borderId="6" xfId="0" applyFont="1" applyFill="1" applyBorder="1" applyAlignment="1">
      <alignment horizontal="center" wrapText="1"/>
    </xf>
    <xf numFmtId="0" fontId="8" fillId="32" borderId="6" xfId="0" applyFont="1" applyFill="1" applyBorder="1" applyAlignment="1">
      <alignment horizontal="center" wrapText="1"/>
    </xf>
    <xf numFmtId="0" fontId="32" fillId="32" borderId="6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wrapText="1"/>
    </xf>
    <xf numFmtId="0" fontId="32" fillId="0" borderId="6" xfId="0" applyFont="1" applyFill="1" applyBorder="1" applyAlignment="1">
      <alignment horizontal="center" wrapText="1"/>
    </xf>
    <xf numFmtId="0" fontId="32" fillId="0" borderId="6" xfId="0" applyFont="1" applyFill="1" applyBorder="1" applyAlignment="1">
      <alignment horizontal="left" vertical="top" wrapText="1"/>
    </xf>
    <xf numFmtId="0" fontId="8" fillId="21" borderId="6" xfId="0" applyFont="1" applyFill="1" applyBorder="1" applyAlignment="1">
      <alignment horizontal="center" wrapText="1"/>
    </xf>
    <xf numFmtId="0" fontId="32" fillId="21" borderId="6" xfId="0" applyFont="1" applyFill="1" applyBorder="1" applyAlignment="1">
      <alignment horizontal="center" wrapText="1"/>
    </xf>
    <xf numFmtId="0" fontId="32" fillId="21" borderId="6" xfId="0" applyFont="1" applyFill="1" applyBorder="1" applyAlignment="1">
      <alignment horizontal="left" vertical="top" wrapText="1"/>
    </xf>
    <xf numFmtId="9" fontId="33" fillId="21" borderId="6" xfId="0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left" vertical="top" wrapText="1"/>
    </xf>
    <xf numFmtId="0" fontId="34" fillId="24" borderId="6" xfId="0" applyFont="1" applyFill="1" applyBorder="1" applyAlignment="1">
      <alignment horizontal="center" vertical="center" wrapText="1"/>
    </xf>
    <xf numFmtId="0" fontId="13" fillId="24" borderId="6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center" wrapText="1"/>
    </xf>
    <xf numFmtId="0" fontId="13" fillId="33" borderId="6" xfId="0" applyFont="1" applyFill="1" applyBorder="1" applyAlignment="1">
      <alignment horizontal="center" wrapText="1"/>
    </xf>
    <xf numFmtId="0" fontId="34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2" fontId="36" fillId="0" borderId="6" xfId="0" applyNumberFormat="1" applyFont="1" applyFill="1" applyBorder="1" applyAlignment="1">
      <alignment horizontal="center" wrapText="1"/>
    </xf>
    <xf numFmtId="0" fontId="13" fillId="0" borderId="6" xfId="0" applyFont="1" applyFill="1" applyBorder="1" applyAlignment="1">
      <alignment horizontal="center" wrapText="1"/>
    </xf>
    <xf numFmtId="2" fontId="36" fillId="0" borderId="6" xfId="0" applyNumberFormat="1" applyFont="1" applyFill="1" applyBorder="1" applyAlignment="1">
      <alignment horizontal="center" vertical="center" wrapText="1"/>
    </xf>
    <xf numFmtId="49" fontId="34" fillId="0" borderId="6" xfId="0" applyNumberFormat="1" applyFont="1" applyFill="1" applyBorder="1" applyAlignment="1">
      <alignment horizontal="center" vertical="center" wrapText="1"/>
    </xf>
    <xf numFmtId="0" fontId="34" fillId="25" borderId="6" xfId="0" applyFont="1" applyFill="1" applyBorder="1" applyAlignment="1">
      <alignment horizontal="left" wrapText="1"/>
    </xf>
    <xf numFmtId="0" fontId="13" fillId="25" borderId="6" xfId="0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27" borderId="6" xfId="0" applyFont="1" applyFill="1" applyBorder="1" applyAlignment="1">
      <alignment horizontal="left" vertical="top" wrapText="1"/>
    </xf>
    <xf numFmtId="0" fontId="34" fillId="28" borderId="6" xfId="0" applyFont="1" applyFill="1" applyBorder="1" applyAlignment="1">
      <alignment horizontal="left" wrapText="1"/>
    </xf>
    <xf numFmtId="0" fontId="13" fillId="28" borderId="6" xfId="0" applyFont="1" applyFill="1" applyBorder="1" applyAlignment="1">
      <alignment horizontal="left" wrapText="1"/>
    </xf>
    <xf numFmtId="0" fontId="34" fillId="28" borderId="6" xfId="0" applyFont="1" applyFill="1" applyBorder="1" applyAlignment="1">
      <alignment horizontal="left" wrapText="1" indent="1"/>
    </xf>
    <xf numFmtId="0" fontId="34" fillId="0" borderId="6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1" fontId="36" fillId="0" borderId="6" xfId="0" applyNumberFormat="1" applyFont="1" applyFill="1" applyBorder="1" applyAlignment="1">
      <alignment horizontal="left" vertical="center" wrapText="1"/>
    </xf>
    <xf numFmtId="1" fontId="36" fillId="0" borderId="6" xfId="0" applyNumberFormat="1" applyFont="1" applyFill="1" applyBorder="1" applyAlignment="1">
      <alignment horizontal="left" vertical="center" wrapText="1" indent="1"/>
    </xf>
    <xf numFmtId="0" fontId="34" fillId="0" borderId="0" xfId="0" applyFont="1" applyFill="1" applyBorder="1" applyAlignment="1">
      <alignment horizontal="left" vertical="center" wrapText="1"/>
    </xf>
    <xf numFmtId="0" fontId="34" fillId="29" borderId="6" xfId="0" applyFont="1" applyFill="1" applyBorder="1" applyAlignment="1">
      <alignment horizontal="left" vertical="center" wrapText="1"/>
    </xf>
    <xf numFmtId="0" fontId="13" fillId="29" borderId="6" xfId="0" applyFont="1" applyFill="1" applyBorder="1" applyAlignment="1">
      <alignment horizontal="left" vertical="center" wrapText="1"/>
    </xf>
    <xf numFmtId="1" fontId="36" fillId="0" borderId="6" xfId="0" applyNumberFormat="1" applyFont="1" applyFill="1" applyBorder="1" applyAlignment="1">
      <alignment horizontal="left" wrapText="1"/>
    </xf>
    <xf numFmtId="1" fontId="36" fillId="0" borderId="6" xfId="0" applyNumberFormat="1" applyFont="1" applyFill="1" applyBorder="1" applyAlignment="1">
      <alignment horizontal="left" wrapText="1" indent="1"/>
    </xf>
    <xf numFmtId="0" fontId="13" fillId="0" borderId="6" xfId="0" applyFont="1" applyFill="1" applyBorder="1" applyAlignment="1">
      <alignment horizontal="left" vertical="top" wrapText="1"/>
    </xf>
    <xf numFmtId="0" fontId="4" fillId="9" borderId="18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left" vertical="center" wrapText="1"/>
    </xf>
    <xf numFmtId="0" fontId="24" fillId="8" borderId="6" xfId="0" applyFont="1" applyFill="1" applyBorder="1" applyAlignment="1">
      <alignment horizontal="left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10" fontId="25" fillId="0" borderId="6" xfId="0" applyNumberFormat="1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left" vertical="center" wrapText="1"/>
    </xf>
    <xf numFmtId="0" fontId="24" fillId="0" borderId="6" xfId="0" applyFont="1" applyFill="1" applyBorder="1" applyAlignment="1">
      <alignment horizontal="left" vertical="center" wrapText="1"/>
    </xf>
    <xf numFmtId="10" fontId="25" fillId="0" borderId="6" xfId="0" applyNumberFormat="1" applyFont="1" applyFill="1" applyBorder="1" applyAlignment="1">
      <alignment horizontal="left" vertical="center" wrapText="1"/>
    </xf>
    <xf numFmtId="0" fontId="22" fillId="0" borderId="6" xfId="0" applyFont="1" applyFill="1" applyBorder="1" applyAlignment="1">
      <alignment horizontal="center" wrapText="1"/>
    </xf>
    <xf numFmtId="0" fontId="24" fillId="0" borderId="6" xfId="0" applyFont="1" applyFill="1" applyBorder="1" applyAlignment="1">
      <alignment horizontal="center" wrapText="1"/>
    </xf>
    <xf numFmtId="10" fontId="25" fillId="0" borderId="6" xfId="0" applyNumberFormat="1" applyFont="1" applyFill="1" applyBorder="1" applyAlignment="1">
      <alignment horizontal="center" wrapText="1"/>
    </xf>
    <xf numFmtId="0" fontId="22" fillId="0" borderId="6" xfId="0" applyFont="1" applyFill="1" applyBorder="1" applyAlignment="1">
      <alignment horizontal="left" wrapText="1"/>
    </xf>
    <xf numFmtId="0" fontId="24" fillId="0" borderId="6" xfId="0" applyFont="1" applyFill="1" applyBorder="1" applyAlignment="1">
      <alignment horizontal="left" wrapText="1"/>
    </xf>
    <xf numFmtId="10" fontId="25" fillId="0" borderId="6" xfId="0" applyNumberFormat="1" applyFont="1" applyFill="1" applyBorder="1" applyAlignment="1">
      <alignment horizontal="left" wrapText="1"/>
    </xf>
    <xf numFmtId="0" fontId="24" fillId="0" borderId="6" xfId="0" applyFont="1" applyFill="1" applyBorder="1" applyAlignment="1">
      <alignment horizontal="left" vertical="top" wrapText="1"/>
    </xf>
    <xf numFmtId="10" fontId="24" fillId="0" borderId="6" xfId="0" applyNumberFormat="1" applyFont="1" applyFill="1" applyBorder="1" applyAlignment="1">
      <alignment horizontal="left" vertical="top" wrapText="1"/>
    </xf>
    <xf numFmtId="0" fontId="24" fillId="0" borderId="10" xfId="0" applyFont="1" applyFill="1" applyBorder="1" applyAlignment="1">
      <alignment horizontal="center" vertical="top" wrapText="1"/>
    </xf>
    <xf numFmtId="0" fontId="24" fillId="0" borderId="11" xfId="0" applyFont="1" applyFill="1" applyBorder="1" applyAlignment="1">
      <alignment horizontal="center" vertical="top" wrapText="1"/>
    </xf>
    <xf numFmtId="0" fontId="24" fillId="0" borderId="15" xfId="0" applyFont="1" applyFill="1" applyBorder="1" applyAlignment="1">
      <alignment horizontal="center" vertical="top" wrapText="1"/>
    </xf>
    <xf numFmtId="0" fontId="24" fillId="0" borderId="13" xfId="0" applyFont="1" applyFill="1" applyBorder="1" applyAlignment="1">
      <alignment horizontal="center" vertical="top" wrapText="1"/>
    </xf>
    <xf numFmtId="0" fontId="24" fillId="0" borderId="14" xfId="0" applyFont="1" applyFill="1" applyBorder="1" applyAlignment="1">
      <alignment horizontal="center" vertical="top" wrapText="1"/>
    </xf>
    <xf numFmtId="0" fontId="24" fillId="0" borderId="17" xfId="0" applyFont="1" applyFill="1" applyBorder="1" applyAlignment="1">
      <alignment horizontal="center" vertical="top" wrapText="1"/>
    </xf>
    <xf numFmtId="10" fontId="24" fillId="0" borderId="10" xfId="0" applyNumberFormat="1" applyFont="1" applyFill="1" applyBorder="1" applyAlignment="1">
      <alignment horizontal="center" vertical="top" wrapText="1"/>
    </xf>
    <xf numFmtId="10" fontId="24" fillId="0" borderId="11" xfId="0" applyNumberFormat="1" applyFont="1" applyFill="1" applyBorder="1" applyAlignment="1">
      <alignment horizontal="center" vertical="top" wrapText="1"/>
    </xf>
    <xf numFmtId="10" fontId="24" fillId="0" borderId="15" xfId="0" applyNumberFormat="1" applyFont="1" applyFill="1" applyBorder="1" applyAlignment="1">
      <alignment horizontal="center" vertical="top" wrapText="1"/>
    </xf>
    <xf numFmtId="10" fontId="24" fillId="0" borderId="13" xfId="0" applyNumberFormat="1" applyFont="1" applyFill="1" applyBorder="1" applyAlignment="1">
      <alignment horizontal="center" vertical="top" wrapText="1"/>
    </xf>
    <xf numFmtId="10" fontId="24" fillId="0" borderId="14" xfId="0" applyNumberFormat="1" applyFont="1" applyFill="1" applyBorder="1" applyAlignment="1">
      <alignment horizontal="center" vertical="top" wrapText="1"/>
    </xf>
    <xf numFmtId="10" fontId="24" fillId="0" borderId="17" xfId="0" applyNumberFormat="1" applyFont="1" applyFill="1" applyBorder="1" applyAlignment="1">
      <alignment horizontal="center" vertical="top" wrapText="1"/>
    </xf>
    <xf numFmtId="0" fontId="24" fillId="0" borderId="12" xfId="0" applyFont="1" applyFill="1" applyBorder="1" applyAlignment="1">
      <alignment horizontal="center" vertical="top" wrapText="1"/>
    </xf>
    <xf numFmtId="0" fontId="24" fillId="0" borderId="0" xfId="0" applyFont="1" applyFill="1" applyAlignment="1">
      <alignment horizontal="center" vertical="top" wrapText="1"/>
    </xf>
    <xf numFmtId="0" fontId="24" fillId="0" borderId="16" xfId="0" applyFont="1" applyFill="1" applyBorder="1" applyAlignment="1">
      <alignment horizontal="center" vertical="top" wrapText="1"/>
    </xf>
    <xf numFmtId="10" fontId="24" fillId="0" borderId="10" xfId="0" applyNumberFormat="1" applyFont="1" applyFill="1" applyBorder="1" applyAlignment="1">
      <alignment horizontal="left" vertical="top" wrapText="1"/>
    </xf>
    <xf numFmtId="10" fontId="24" fillId="0" borderId="11" xfId="0" applyNumberFormat="1" applyFont="1" applyFill="1" applyBorder="1" applyAlignment="1">
      <alignment horizontal="left" vertical="top" wrapText="1"/>
    </xf>
    <xf numFmtId="10" fontId="24" fillId="0" borderId="15" xfId="0" applyNumberFormat="1" applyFont="1" applyFill="1" applyBorder="1" applyAlignment="1">
      <alignment horizontal="left" vertical="top" wrapText="1"/>
    </xf>
    <xf numFmtId="10" fontId="24" fillId="0" borderId="12" xfId="0" applyNumberFormat="1" applyFont="1" applyFill="1" applyBorder="1" applyAlignment="1">
      <alignment horizontal="left" vertical="top" wrapText="1"/>
    </xf>
    <xf numFmtId="10" fontId="24" fillId="0" borderId="0" xfId="0" applyNumberFormat="1" applyFont="1" applyFill="1" applyAlignment="1">
      <alignment horizontal="left" vertical="top" wrapText="1"/>
    </xf>
    <xf numFmtId="10" fontId="24" fillId="0" borderId="16" xfId="0" applyNumberFormat="1" applyFont="1" applyFill="1" applyBorder="1" applyAlignment="1">
      <alignment horizontal="left" vertical="top" wrapText="1"/>
    </xf>
    <xf numFmtId="10" fontId="24" fillId="0" borderId="13" xfId="0" applyNumberFormat="1" applyFont="1" applyFill="1" applyBorder="1" applyAlignment="1">
      <alignment horizontal="left" vertical="top" wrapText="1"/>
    </xf>
    <xf numFmtId="10" fontId="24" fillId="0" borderId="14" xfId="0" applyNumberFormat="1" applyFont="1" applyFill="1" applyBorder="1" applyAlignment="1">
      <alignment horizontal="left" vertical="top" wrapText="1"/>
    </xf>
    <xf numFmtId="10" fontId="24" fillId="0" borderId="17" xfId="0" applyNumberFormat="1" applyFont="1" applyFill="1" applyBorder="1" applyAlignment="1">
      <alignment horizontal="left" vertical="top" wrapText="1"/>
    </xf>
    <xf numFmtId="0" fontId="22" fillId="12" borderId="6" xfId="0" applyFont="1" applyFill="1" applyBorder="1" applyAlignment="1">
      <alignment horizontal="center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 wrapText="1"/>
    </xf>
    <xf numFmtId="0" fontId="23" fillId="15" borderId="6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left" vertical="top" wrapText="1"/>
    </xf>
    <xf numFmtId="0" fontId="24" fillId="0" borderId="11" xfId="0" applyFont="1" applyFill="1" applyBorder="1" applyAlignment="1">
      <alignment horizontal="left" vertical="top" wrapText="1"/>
    </xf>
    <xf numFmtId="0" fontId="24" fillId="0" borderId="15" xfId="0" applyFont="1" applyFill="1" applyBorder="1" applyAlignment="1">
      <alignment horizontal="left" vertical="top" wrapText="1"/>
    </xf>
    <xf numFmtId="0" fontId="24" fillId="0" borderId="12" xfId="0" applyFont="1" applyFill="1" applyBorder="1" applyAlignment="1">
      <alignment horizontal="left" vertical="top" wrapText="1"/>
    </xf>
    <xf numFmtId="0" fontId="24" fillId="0" borderId="0" xfId="0" applyFont="1" applyFill="1" applyAlignment="1">
      <alignment horizontal="left" vertical="top" wrapText="1"/>
    </xf>
    <xf numFmtId="0" fontId="24" fillId="0" borderId="16" xfId="0" applyFont="1" applyFill="1" applyBorder="1" applyAlignment="1">
      <alignment horizontal="left" vertical="top" wrapText="1"/>
    </xf>
    <xf numFmtId="0" fontId="24" fillId="0" borderId="13" xfId="0" applyFont="1" applyFill="1" applyBorder="1" applyAlignment="1">
      <alignment horizontal="left" vertical="top" wrapText="1"/>
    </xf>
    <xf numFmtId="0" fontId="24" fillId="0" borderId="14" xfId="0" applyFont="1" applyFill="1" applyBorder="1" applyAlignment="1">
      <alignment horizontal="left" vertical="top" wrapText="1"/>
    </xf>
    <xf numFmtId="0" fontId="24" fillId="0" borderId="17" xfId="0" applyFont="1" applyFill="1" applyBorder="1" applyAlignment="1">
      <alignment horizontal="left" vertical="top" wrapText="1"/>
    </xf>
    <xf numFmtId="0" fontId="26" fillId="12" borderId="3" xfId="0" applyFont="1" applyFill="1" applyBorder="1" applyAlignment="1">
      <alignment horizontal="left" vertical="center" wrapText="1"/>
    </xf>
    <xf numFmtId="0" fontId="26" fillId="16" borderId="3" xfId="0" applyFont="1" applyFill="1" applyBorder="1" applyAlignment="1">
      <alignment horizontal="left" vertical="center" wrapText="1"/>
    </xf>
    <xf numFmtId="0" fontId="18" fillId="45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left" vertical="center"/>
    </xf>
    <xf numFmtId="0" fontId="19" fillId="12" borderId="4" xfId="0" applyFont="1" applyFill="1" applyBorder="1" applyAlignment="1">
      <alignment horizontal="left" vertical="center"/>
    </xf>
    <xf numFmtId="0" fontId="19" fillId="12" borderId="8" xfId="0" applyFont="1" applyFill="1" applyBorder="1" applyAlignment="1">
      <alignment horizontal="left" vertical="center"/>
    </xf>
    <xf numFmtId="0" fontId="19" fillId="12" borderId="9" xfId="0" applyFont="1" applyFill="1" applyBorder="1" applyAlignment="1">
      <alignment horizontal="left" vertical="center"/>
    </xf>
    <xf numFmtId="0" fontId="19" fillId="21" borderId="4" xfId="0" applyFont="1" applyFill="1" applyBorder="1" applyAlignment="1">
      <alignment horizontal="left" vertical="center"/>
    </xf>
    <xf numFmtId="0" fontId="19" fillId="21" borderId="8" xfId="0" applyFont="1" applyFill="1" applyBorder="1" applyAlignment="1">
      <alignment horizontal="left" vertical="center"/>
    </xf>
    <xf numFmtId="0" fontId="19" fillId="21" borderId="9" xfId="0" applyFont="1" applyFill="1" applyBorder="1" applyAlignment="1">
      <alignment horizontal="left" vertical="center"/>
    </xf>
    <xf numFmtId="0" fontId="20" fillId="13" borderId="4" xfId="0" applyFont="1" applyFill="1" applyBorder="1" applyAlignment="1">
      <alignment horizontal="left" vertical="center"/>
    </xf>
    <xf numFmtId="0" fontId="20" fillId="13" borderId="8" xfId="0" applyFont="1" applyFill="1" applyBorder="1" applyAlignment="1">
      <alignment horizontal="left" vertical="center"/>
    </xf>
    <xf numFmtId="0" fontId="20" fillId="13" borderId="9" xfId="0" applyFont="1" applyFill="1" applyBorder="1" applyAlignment="1">
      <alignment horizontal="left" vertical="center"/>
    </xf>
    <xf numFmtId="0" fontId="20" fillId="10" borderId="3" xfId="0" applyFont="1" applyFill="1" applyBorder="1" applyAlignment="1">
      <alignment horizontal="left" vertical="center" wrapText="1"/>
    </xf>
    <xf numFmtId="0" fontId="19" fillId="21" borderId="4" xfId="0" applyFont="1" applyFill="1" applyBorder="1" applyAlignment="1">
      <alignment horizontal="left" vertical="center" wrapText="1"/>
    </xf>
    <xf numFmtId="0" fontId="19" fillId="21" borderId="8" xfId="0" applyFont="1" applyFill="1" applyBorder="1" applyAlignment="1">
      <alignment horizontal="left" vertical="center" wrapText="1"/>
    </xf>
    <xf numFmtId="0" fontId="19" fillId="21" borderId="9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/>
    </xf>
    <xf numFmtId="0" fontId="20" fillId="9" borderId="8" xfId="0" applyFont="1" applyFill="1" applyBorder="1" applyAlignment="1">
      <alignment horizontal="left" vertical="center"/>
    </xf>
    <xf numFmtId="0" fontId="20" fillId="9" borderId="9" xfId="0" applyFont="1" applyFill="1" applyBorder="1" applyAlignment="1">
      <alignment horizontal="left" vertical="center"/>
    </xf>
    <xf numFmtId="0" fontId="19" fillId="12" borderId="4" xfId="0" applyFont="1" applyFill="1" applyBorder="1" applyAlignment="1">
      <alignment horizontal="left" vertical="center" wrapText="1"/>
    </xf>
    <xf numFmtId="0" fontId="19" fillId="12" borderId="8" xfId="0" applyFont="1" applyFill="1" applyBorder="1" applyAlignment="1">
      <alignment horizontal="left" vertical="center" wrapText="1"/>
    </xf>
    <xf numFmtId="0" fontId="19" fillId="12" borderId="9" xfId="0" applyFont="1" applyFill="1" applyBorder="1" applyAlignment="1">
      <alignment horizontal="left" vertical="center" wrapText="1"/>
    </xf>
    <xf numFmtId="0" fontId="20" fillId="13" borderId="4" xfId="0" applyFont="1" applyFill="1" applyBorder="1" applyAlignment="1">
      <alignment horizontal="left" vertical="center" wrapText="1"/>
    </xf>
    <xf numFmtId="0" fontId="20" fillId="13" borderId="8" xfId="0" applyFont="1" applyFill="1" applyBorder="1" applyAlignment="1">
      <alignment horizontal="left" vertical="center" wrapText="1"/>
    </xf>
    <xf numFmtId="0" fontId="20" fillId="13" borderId="9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20" fillId="9" borderId="8" xfId="0" applyFont="1" applyFill="1" applyBorder="1" applyAlignment="1">
      <alignment horizontal="left" vertical="center" wrapText="1"/>
    </xf>
    <xf numFmtId="0" fontId="20" fillId="9" borderId="9" xfId="0" applyFont="1" applyFill="1" applyBorder="1" applyAlignment="1">
      <alignment horizontal="left" vertical="center" wrapText="1"/>
    </xf>
    <xf numFmtId="0" fontId="20" fillId="9" borderId="3" xfId="0" applyFont="1" applyFill="1" applyBorder="1" applyAlignment="1">
      <alignment horizontal="left" vertical="center"/>
    </xf>
    <xf numFmtId="0" fontId="20" fillId="9" borderId="3" xfId="0" applyFont="1" applyFill="1" applyBorder="1" applyAlignment="1">
      <alignment horizontal="left" vertical="center" wrapText="1"/>
    </xf>
    <xf numFmtId="0" fontId="19" fillId="21" borderId="3" xfId="0" applyFont="1" applyFill="1" applyBorder="1" applyAlignment="1">
      <alignment horizontal="left" vertical="center"/>
    </xf>
    <xf numFmtId="0" fontId="20" fillId="13" borderId="3" xfId="0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0" fontId="1" fillId="2" borderId="2" xfId="1" applyFont="1" applyFill="1" applyBorder="1" applyAlignment="1">
      <alignment horizontal="left" vertical="center"/>
    </xf>
    <xf numFmtId="0" fontId="1" fillId="2" borderId="5" xfId="1" applyFont="1" applyFill="1" applyBorder="1" applyAlignment="1">
      <alignment horizontal="left" vertical="center"/>
    </xf>
    <xf numFmtId="0" fontId="1" fillId="2" borderId="3" xfId="1" applyFont="1" applyFill="1" applyBorder="1" applyAlignment="1">
      <alignment horizontal="left" vertical="center"/>
    </xf>
    <xf numFmtId="0" fontId="57" fillId="0" borderId="0" xfId="0" applyFont="1">
      <alignment vertical="center"/>
    </xf>
  </cellXfs>
  <cellStyles count="6">
    <cellStyle name="Normal" xfId="0" builtinId="0"/>
    <cellStyle name="Normal 2" xfId="3"/>
    <cellStyle name="Normal 2 3 2 2 4 3" xfId="1"/>
    <cellStyle name="Normal 2 3 2 2 6" xfId="5"/>
    <cellStyle name="Normal_MAY - EXPECTED TCL  MARKET PAYOUTS" xfId="2"/>
    <cellStyle name="Percent 2" xfId="4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topLeftCell="A76" workbookViewId="0">
      <selection activeCell="E99" sqref="E99"/>
    </sheetView>
  </sheetViews>
  <sheetFormatPr defaultColWidth="9" defaultRowHeight="15"/>
  <cols>
    <col min="1" max="1" width="37.28515625" bestFit="1" customWidth="1"/>
    <col min="2" max="2" width="16.28515625" customWidth="1"/>
    <col min="3" max="3" width="8.140625" bestFit="1" customWidth="1"/>
    <col min="4" max="4" width="16" bestFit="1" customWidth="1"/>
    <col min="5" max="5" width="37.5703125" bestFit="1" customWidth="1"/>
    <col min="6" max="6" width="17.7109375" bestFit="1" customWidth="1"/>
    <col min="7" max="7" width="37.5703125" bestFit="1" customWidth="1"/>
    <col min="8" max="8" width="7.85546875" bestFit="1" customWidth="1"/>
    <col min="9" max="9" width="8.85546875" bestFit="1" customWidth="1"/>
    <col min="10" max="10" width="7.85546875" bestFit="1" customWidth="1"/>
    <col min="11" max="11" width="7.42578125" bestFit="1" customWidth="1"/>
    <col min="12" max="14" width="16" bestFit="1" customWidth="1"/>
    <col min="15" max="15" width="7.140625" bestFit="1" customWidth="1"/>
  </cols>
  <sheetData>
    <row r="1" spans="1:15">
      <c r="A1" s="192" t="s">
        <v>0</v>
      </c>
      <c r="B1" s="193"/>
      <c r="C1" s="193"/>
      <c r="D1" s="193"/>
      <c r="E1" s="193"/>
      <c r="F1" s="193"/>
      <c r="G1" s="194"/>
      <c r="H1" s="155"/>
      <c r="I1" s="192" t="s">
        <v>1</v>
      </c>
      <c r="J1" s="193"/>
      <c r="K1" s="193"/>
      <c r="L1" s="193"/>
      <c r="M1" s="193"/>
      <c r="N1" s="193"/>
      <c r="O1" s="194"/>
    </row>
    <row r="2" spans="1:15">
      <c r="A2" s="195" t="s">
        <v>2</v>
      </c>
      <c r="B2" s="195"/>
      <c r="C2" s="196" t="s">
        <v>3</v>
      </c>
      <c r="D2" s="197"/>
      <c r="E2" s="197"/>
      <c r="F2" s="197"/>
      <c r="G2" s="198"/>
      <c r="H2" s="158"/>
      <c r="I2" s="195" t="s">
        <v>2</v>
      </c>
      <c r="J2" s="195"/>
      <c r="K2" s="196" t="s">
        <v>3</v>
      </c>
      <c r="L2" s="197"/>
      <c r="M2" s="197"/>
      <c r="N2" s="197"/>
      <c r="O2" s="197"/>
    </row>
    <row r="3" spans="1:15">
      <c r="A3" s="150" t="s">
        <v>4</v>
      </c>
      <c r="B3" s="150" t="s">
        <v>5</v>
      </c>
      <c r="C3" s="149" t="s">
        <v>6</v>
      </c>
      <c r="D3" s="149" t="s">
        <v>7</v>
      </c>
      <c r="E3" s="149" t="s">
        <v>8</v>
      </c>
      <c r="F3" s="149" t="s">
        <v>9</v>
      </c>
      <c r="G3" s="149" t="s">
        <v>10</v>
      </c>
      <c r="H3" s="156"/>
      <c r="I3" s="150" t="s">
        <v>4</v>
      </c>
      <c r="J3" s="150" t="s">
        <v>5</v>
      </c>
      <c r="K3" s="149" t="s">
        <v>11</v>
      </c>
      <c r="L3" s="149" t="s">
        <v>12</v>
      </c>
      <c r="M3" s="149" t="s">
        <v>7</v>
      </c>
      <c r="N3" s="149" t="s">
        <v>8</v>
      </c>
      <c r="O3" s="149" t="s">
        <v>13</v>
      </c>
    </row>
    <row r="4" spans="1:15">
      <c r="A4" s="151">
        <v>0</v>
      </c>
      <c r="B4" s="151">
        <v>0.6</v>
      </c>
      <c r="C4" s="152">
        <v>0.05</v>
      </c>
      <c r="D4" s="152">
        <v>6.5000000000000002E-2</v>
      </c>
      <c r="E4" s="152">
        <v>0.08</v>
      </c>
      <c r="F4" s="152">
        <v>9.5000000000000001E-2</v>
      </c>
      <c r="G4" s="152">
        <v>0.11</v>
      </c>
      <c r="H4" s="156"/>
      <c r="I4" s="151">
        <v>0</v>
      </c>
      <c r="J4" s="151">
        <v>0.4</v>
      </c>
      <c r="K4" s="152">
        <v>0.05</v>
      </c>
      <c r="L4" s="152">
        <v>6.5000000000000002E-2</v>
      </c>
      <c r="M4" s="152">
        <v>0.08</v>
      </c>
      <c r="N4" s="152">
        <v>0.1</v>
      </c>
      <c r="O4" s="152">
        <v>0.12</v>
      </c>
    </row>
    <row r="5" spans="1:15">
      <c r="A5" s="151">
        <v>0.6</v>
      </c>
      <c r="B5" s="151">
        <v>0.75</v>
      </c>
      <c r="C5" s="152">
        <v>7.4999999999999997E-2</v>
      </c>
      <c r="D5" s="152">
        <v>0.09</v>
      </c>
      <c r="E5" s="152">
        <v>0.105</v>
      </c>
      <c r="F5" s="152">
        <v>0.12</v>
      </c>
      <c r="G5" s="152">
        <v>0.13500000000000001</v>
      </c>
      <c r="H5" s="156"/>
      <c r="I5" s="151">
        <v>0.4</v>
      </c>
      <c r="J5" s="151">
        <v>0.45</v>
      </c>
      <c r="K5" s="152">
        <v>0.06</v>
      </c>
      <c r="L5" s="152">
        <v>7.4999999999999997E-2</v>
      </c>
      <c r="M5" s="152">
        <v>0.09</v>
      </c>
      <c r="N5" s="152">
        <v>0.105</v>
      </c>
      <c r="O5" s="152">
        <v>0.12</v>
      </c>
    </row>
    <row r="6" spans="1:15">
      <c r="A6" s="151">
        <v>0.75</v>
      </c>
      <c r="B6" s="151">
        <v>0.8</v>
      </c>
      <c r="C6" s="152">
        <v>8.5000000000000006E-2</v>
      </c>
      <c r="D6" s="152">
        <v>0.1</v>
      </c>
      <c r="E6" s="152">
        <v>0.115</v>
      </c>
      <c r="F6" s="152">
        <v>0.13</v>
      </c>
      <c r="G6" s="152">
        <v>0.14499999999999999</v>
      </c>
      <c r="H6" s="155"/>
      <c r="I6" s="151">
        <v>0.45</v>
      </c>
      <c r="J6" s="151">
        <v>0.5</v>
      </c>
      <c r="K6" s="152">
        <v>9.5000000000000001E-2</v>
      </c>
      <c r="L6" s="152">
        <v>0.11</v>
      </c>
      <c r="M6" s="152">
        <v>0.125</v>
      </c>
      <c r="N6" s="152">
        <v>0.14000000000000001</v>
      </c>
      <c r="O6" s="152">
        <v>0.155</v>
      </c>
    </row>
    <row r="7" spans="1:15">
      <c r="A7" s="151">
        <v>0.8</v>
      </c>
      <c r="B7" s="151">
        <v>0.85</v>
      </c>
      <c r="C7" s="152">
        <v>0.11</v>
      </c>
      <c r="D7" s="152">
        <v>0.125</v>
      </c>
      <c r="E7" s="152">
        <v>0.14000000000000001</v>
      </c>
      <c r="F7" s="152">
        <v>0.155</v>
      </c>
      <c r="G7" s="152">
        <v>0.17</v>
      </c>
      <c r="H7" s="155"/>
      <c r="I7" s="151">
        <v>0.5</v>
      </c>
      <c r="J7" s="151">
        <v>0.55000000000000004</v>
      </c>
      <c r="K7" s="152">
        <v>0.11</v>
      </c>
      <c r="L7" s="152">
        <f>K7+1%</f>
        <v>0.12</v>
      </c>
      <c r="M7" s="152">
        <v>0.14499999999999999</v>
      </c>
      <c r="N7" s="152">
        <v>0.16</v>
      </c>
      <c r="O7" s="152">
        <v>0.17499999999999999</v>
      </c>
    </row>
    <row r="8" spans="1:15">
      <c r="A8" s="151">
        <v>0.85</v>
      </c>
      <c r="B8" s="151">
        <v>0.87</v>
      </c>
      <c r="C8" s="152">
        <v>0.14000000000000001</v>
      </c>
      <c r="D8" s="152">
        <v>0.14499999999999999</v>
      </c>
      <c r="E8" s="152">
        <v>0.15</v>
      </c>
      <c r="F8" s="152">
        <v>0.16500000000000001</v>
      </c>
      <c r="G8" s="152">
        <v>0.18</v>
      </c>
      <c r="H8" s="155"/>
      <c r="I8" s="151">
        <v>0.55000000000000004</v>
      </c>
      <c r="J8" s="151">
        <v>0.6</v>
      </c>
      <c r="K8" s="152">
        <v>0.15</v>
      </c>
      <c r="L8" s="152">
        <f>K8+1%</f>
        <v>0.16</v>
      </c>
      <c r="M8" s="152">
        <v>0.18</v>
      </c>
      <c r="N8" s="152">
        <v>0.2</v>
      </c>
      <c r="O8" s="152">
        <v>0.22</v>
      </c>
    </row>
    <row r="9" spans="1:15">
      <c r="A9" s="153">
        <v>0.87</v>
      </c>
      <c r="B9" s="153">
        <v>0.9</v>
      </c>
      <c r="C9" s="152">
        <v>0.16</v>
      </c>
      <c r="D9" s="152">
        <v>0.16500000000000001</v>
      </c>
      <c r="E9" s="152">
        <v>0.17</v>
      </c>
      <c r="F9" s="152">
        <v>0.185</v>
      </c>
      <c r="G9" s="152">
        <v>0.2</v>
      </c>
      <c r="H9" s="155"/>
      <c r="I9" s="199" t="s">
        <v>14</v>
      </c>
      <c r="J9" s="200"/>
      <c r="K9" s="152">
        <v>0.17</v>
      </c>
      <c r="L9" s="152">
        <f>K9+1%</f>
        <v>0.18</v>
      </c>
      <c r="M9" s="152">
        <v>0.21</v>
      </c>
      <c r="N9" s="152">
        <v>0.23</v>
      </c>
      <c r="O9" s="152">
        <v>0.25</v>
      </c>
    </row>
    <row r="10" spans="1:15">
      <c r="A10" s="201" t="s">
        <v>15</v>
      </c>
      <c r="B10" s="201"/>
      <c r="C10" s="154">
        <v>0.18</v>
      </c>
      <c r="D10" s="152">
        <v>0.185</v>
      </c>
      <c r="E10" s="152">
        <v>0.19</v>
      </c>
      <c r="F10" s="152">
        <v>0.20499999999999999</v>
      </c>
      <c r="G10" s="152">
        <v>0.22</v>
      </c>
      <c r="H10" s="155"/>
      <c r="I10" s="155"/>
      <c r="J10" s="155"/>
      <c r="K10" s="155"/>
      <c r="L10" s="155"/>
      <c r="M10" s="155"/>
      <c r="N10" s="155"/>
      <c r="O10" s="155"/>
    </row>
    <row r="11" spans="1:15">
      <c r="A11" s="155"/>
      <c r="B11" s="155"/>
      <c r="C11" s="156"/>
      <c r="D11" s="157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</row>
    <row r="12" spans="1:15">
      <c r="A12" s="192" t="s">
        <v>16</v>
      </c>
      <c r="B12" s="193"/>
      <c r="C12" s="193"/>
      <c r="D12" s="193"/>
      <c r="E12" s="193"/>
      <c r="F12" s="193"/>
      <c r="G12" s="194"/>
      <c r="H12" s="155"/>
      <c r="I12" s="192" t="s">
        <v>17</v>
      </c>
      <c r="J12" s="193"/>
      <c r="K12" s="193"/>
      <c r="L12" s="193"/>
      <c r="M12" s="193"/>
      <c r="N12" s="193"/>
      <c r="O12" s="194"/>
    </row>
    <row r="13" spans="1:15">
      <c r="A13" s="195" t="s">
        <v>2</v>
      </c>
      <c r="B13" s="195"/>
      <c r="C13" s="196" t="s">
        <v>18</v>
      </c>
      <c r="D13" s="197"/>
      <c r="E13" s="197"/>
      <c r="F13" s="197"/>
      <c r="G13" s="198"/>
      <c r="H13" s="158"/>
      <c r="I13" s="195" t="s">
        <v>2</v>
      </c>
      <c r="J13" s="195"/>
      <c r="K13" s="196" t="s">
        <v>3</v>
      </c>
      <c r="L13" s="197"/>
      <c r="M13" s="197"/>
      <c r="N13" s="197"/>
      <c r="O13" s="198"/>
    </row>
    <row r="14" spans="1:15">
      <c r="A14" s="150" t="s">
        <v>4</v>
      </c>
      <c r="B14" s="150" t="s">
        <v>5</v>
      </c>
      <c r="C14" s="149" t="s">
        <v>6</v>
      </c>
      <c r="D14" s="149" t="s">
        <v>7</v>
      </c>
      <c r="E14" s="149" t="s">
        <v>8</v>
      </c>
      <c r="F14" s="149" t="s">
        <v>9</v>
      </c>
      <c r="G14" s="149" t="s">
        <v>10</v>
      </c>
      <c r="H14" s="156"/>
      <c r="I14" s="150" t="s">
        <v>4</v>
      </c>
      <c r="J14" s="150" t="s">
        <v>5</v>
      </c>
      <c r="K14" s="149" t="s">
        <v>19</v>
      </c>
      <c r="L14" s="149" t="s">
        <v>20</v>
      </c>
      <c r="M14" s="149" t="s">
        <v>21</v>
      </c>
      <c r="N14" s="149" t="s">
        <v>22</v>
      </c>
      <c r="O14" s="149" t="s">
        <v>23</v>
      </c>
    </row>
    <row r="15" spans="1:15">
      <c r="A15" s="151">
        <v>0</v>
      </c>
      <c r="B15" s="151">
        <v>0.65</v>
      </c>
      <c r="C15" s="152">
        <v>0.1</v>
      </c>
      <c r="D15" s="152">
        <v>0.11</v>
      </c>
      <c r="E15" s="152">
        <v>0.12</v>
      </c>
      <c r="F15" s="152">
        <v>0.13</v>
      </c>
      <c r="G15" s="152">
        <v>0.14000000000000001</v>
      </c>
      <c r="H15" s="156"/>
      <c r="I15" s="151">
        <v>0</v>
      </c>
      <c r="J15" s="151">
        <v>0.25</v>
      </c>
      <c r="K15" s="152">
        <v>0.12</v>
      </c>
      <c r="L15" s="152">
        <v>0.13</v>
      </c>
      <c r="M15" s="152">
        <v>0.14000000000000001</v>
      </c>
      <c r="N15" s="152">
        <v>0.15</v>
      </c>
      <c r="O15" s="152">
        <v>0.16</v>
      </c>
    </row>
    <row r="16" spans="1:15">
      <c r="A16" s="151">
        <v>0.65</v>
      </c>
      <c r="B16" s="151">
        <v>0.7</v>
      </c>
      <c r="C16" s="152">
        <v>0.11</v>
      </c>
      <c r="D16" s="152">
        <v>0.12</v>
      </c>
      <c r="E16" s="152">
        <v>0.13</v>
      </c>
      <c r="F16" s="152">
        <v>0.14000000000000001</v>
      </c>
      <c r="G16" s="152">
        <v>0.15</v>
      </c>
      <c r="H16" s="155"/>
      <c r="I16" s="151">
        <v>0.25</v>
      </c>
      <c r="J16" s="151">
        <v>0.3</v>
      </c>
      <c r="K16" s="152">
        <v>0.13</v>
      </c>
      <c r="L16" s="152">
        <v>0.14000000000000001</v>
      </c>
      <c r="M16" s="152">
        <v>0.15</v>
      </c>
      <c r="N16" s="152">
        <v>0.16</v>
      </c>
      <c r="O16" s="152">
        <v>0.17</v>
      </c>
    </row>
    <row r="17" spans="1:15">
      <c r="A17" s="151">
        <v>0.7</v>
      </c>
      <c r="B17" s="151">
        <v>0.75</v>
      </c>
      <c r="C17" s="152">
        <v>0.13500000000000001</v>
      </c>
      <c r="D17" s="152">
        <v>0.14499999999999999</v>
      </c>
      <c r="E17" s="152">
        <v>0.155</v>
      </c>
      <c r="F17" s="152">
        <v>0.16500000000000001</v>
      </c>
      <c r="G17" s="152">
        <v>0.17499999999999999</v>
      </c>
      <c r="H17" s="155"/>
      <c r="I17" s="151">
        <v>0.3</v>
      </c>
      <c r="J17" s="151">
        <v>0.35</v>
      </c>
      <c r="K17" s="152">
        <v>0.155</v>
      </c>
      <c r="L17" s="152">
        <v>0.16500000000000001</v>
      </c>
      <c r="M17" s="152">
        <v>0.17499999999999999</v>
      </c>
      <c r="N17" s="152">
        <v>0.185</v>
      </c>
      <c r="O17" s="152">
        <v>0.19500000000000001</v>
      </c>
    </row>
    <row r="18" spans="1:15">
      <c r="A18" s="151">
        <v>0.75</v>
      </c>
      <c r="B18" s="151">
        <v>0.8</v>
      </c>
      <c r="C18" s="152">
        <v>0.14499999999999999</v>
      </c>
      <c r="D18" s="152">
        <v>0.155</v>
      </c>
      <c r="E18" s="152">
        <v>0.16500000000000001</v>
      </c>
      <c r="F18" s="152">
        <v>0.17499999999999999</v>
      </c>
      <c r="G18" s="152">
        <v>0.185</v>
      </c>
      <c r="H18" s="155"/>
      <c r="I18" s="151">
        <v>0.35</v>
      </c>
      <c r="J18" s="151">
        <v>0.4</v>
      </c>
      <c r="K18" s="152">
        <v>0.16500000000000001</v>
      </c>
      <c r="L18" s="152">
        <v>0.17499999999999999</v>
      </c>
      <c r="M18" s="152">
        <v>0.185</v>
      </c>
      <c r="N18" s="152">
        <v>0.19500000000000001</v>
      </c>
      <c r="O18" s="152">
        <v>0.20499999999999999</v>
      </c>
    </row>
    <row r="19" spans="1:15">
      <c r="A19" s="151">
        <v>0.8</v>
      </c>
      <c r="B19" s="151">
        <v>0.85</v>
      </c>
      <c r="C19" s="152">
        <v>0.16500000000000001</v>
      </c>
      <c r="D19" s="152">
        <v>0.17499999999999999</v>
      </c>
      <c r="E19" s="152">
        <v>0.185</v>
      </c>
      <c r="F19" s="152">
        <v>0.19500000000000001</v>
      </c>
      <c r="G19" s="152">
        <v>0.20499999999999999</v>
      </c>
      <c r="H19" s="155"/>
      <c r="I19" s="151">
        <v>0.4</v>
      </c>
      <c r="J19" s="151">
        <v>0.45</v>
      </c>
      <c r="K19" s="152">
        <v>0.185</v>
      </c>
      <c r="L19" s="152">
        <v>0.19500000000000001</v>
      </c>
      <c r="M19" s="152">
        <v>0.20499999999999999</v>
      </c>
      <c r="N19" s="152">
        <v>0.215</v>
      </c>
      <c r="O19" s="152">
        <v>0.22500000000000001</v>
      </c>
    </row>
    <row r="20" spans="1:15">
      <c r="A20" s="151">
        <v>0.85</v>
      </c>
      <c r="B20" s="151">
        <v>0.9</v>
      </c>
      <c r="C20" s="152">
        <v>0.19500000000000001</v>
      </c>
      <c r="D20" s="152">
        <v>0.20499999999999999</v>
      </c>
      <c r="E20" s="152">
        <v>0.215</v>
      </c>
      <c r="F20" s="152">
        <v>0.22500000000000001</v>
      </c>
      <c r="G20" s="152">
        <v>0.23499999999999999</v>
      </c>
      <c r="H20" s="155"/>
      <c r="I20" s="151">
        <v>0.45</v>
      </c>
      <c r="J20" s="151">
        <v>0.5</v>
      </c>
      <c r="K20" s="152">
        <v>0.215</v>
      </c>
      <c r="L20" s="152">
        <v>0.22500000000000001</v>
      </c>
      <c r="M20" s="152">
        <v>0.23499999999999999</v>
      </c>
      <c r="N20" s="152">
        <v>0.245</v>
      </c>
      <c r="O20" s="152">
        <v>0.255</v>
      </c>
    </row>
    <row r="21" spans="1:15">
      <c r="A21" s="151">
        <v>0.9</v>
      </c>
      <c r="B21" s="151">
        <v>1</v>
      </c>
      <c r="C21" s="152">
        <v>0.21</v>
      </c>
      <c r="D21" s="152">
        <v>0.22</v>
      </c>
      <c r="E21" s="152">
        <v>0.23</v>
      </c>
      <c r="F21" s="152">
        <v>0.24</v>
      </c>
      <c r="G21" s="152">
        <v>0.25</v>
      </c>
      <c r="H21" s="155"/>
      <c r="I21" s="151">
        <v>0.5</v>
      </c>
      <c r="J21" s="151">
        <v>1</v>
      </c>
      <c r="K21" s="152">
        <v>0.23</v>
      </c>
      <c r="L21" s="152">
        <v>0.24</v>
      </c>
      <c r="M21" s="152">
        <v>0.25</v>
      </c>
      <c r="N21" s="152">
        <v>0.26</v>
      </c>
      <c r="O21" s="152">
        <v>0.27</v>
      </c>
    </row>
    <row r="22" spans="1:15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</row>
    <row r="23" spans="1:15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</row>
    <row r="24" spans="1:15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</row>
    <row r="25" spans="1:15">
      <c r="A25" s="155"/>
      <c r="B25" s="155"/>
      <c r="C25" s="156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</row>
    <row r="26" spans="1:15">
      <c r="A26" s="192" t="s">
        <v>24</v>
      </c>
      <c r="B26" s="193"/>
      <c r="C26" s="193"/>
      <c r="D26" s="193"/>
      <c r="E26" s="193"/>
      <c r="F26" s="193"/>
      <c r="G26" s="194"/>
      <c r="H26" s="158"/>
      <c r="I26" s="192" t="s">
        <v>25</v>
      </c>
      <c r="J26" s="193"/>
      <c r="K26" s="193"/>
      <c r="L26" s="193"/>
      <c r="M26" s="193"/>
      <c r="N26" s="193"/>
      <c r="O26" s="194"/>
    </row>
    <row r="27" spans="1:15">
      <c r="A27" s="195" t="s">
        <v>2</v>
      </c>
      <c r="B27" s="195"/>
      <c r="C27" s="196" t="s">
        <v>18</v>
      </c>
      <c r="D27" s="197"/>
      <c r="E27" s="197"/>
      <c r="F27" s="197"/>
      <c r="G27" s="198"/>
      <c r="H27" s="156"/>
      <c r="I27" s="195" t="s">
        <v>2</v>
      </c>
      <c r="J27" s="195"/>
      <c r="K27" s="196" t="s">
        <v>26</v>
      </c>
      <c r="L27" s="197"/>
      <c r="M27" s="197"/>
      <c r="N27" s="197"/>
      <c r="O27" s="198"/>
    </row>
    <row r="28" spans="1:15">
      <c r="A28" s="150" t="s">
        <v>4</v>
      </c>
      <c r="B28" s="150" t="s">
        <v>5</v>
      </c>
      <c r="C28" s="149" t="s">
        <v>27</v>
      </c>
      <c r="D28" s="149" t="s">
        <v>28</v>
      </c>
      <c r="E28" s="149" t="s">
        <v>29</v>
      </c>
      <c r="F28" s="149" t="s">
        <v>12</v>
      </c>
      <c r="G28" s="149" t="s">
        <v>30</v>
      </c>
      <c r="H28" s="156"/>
      <c r="I28" s="150" t="s">
        <v>4</v>
      </c>
      <c r="J28" s="150" t="s">
        <v>5</v>
      </c>
      <c r="K28" s="149" t="s">
        <v>6</v>
      </c>
      <c r="L28" s="149" t="s">
        <v>7</v>
      </c>
      <c r="M28" s="149" t="s">
        <v>8</v>
      </c>
      <c r="N28" s="149" t="s">
        <v>9</v>
      </c>
      <c r="O28" s="149" t="s">
        <v>10</v>
      </c>
    </row>
    <row r="29" spans="1:15">
      <c r="A29" s="151">
        <v>0</v>
      </c>
      <c r="B29" s="151">
        <v>0.55000000000000004</v>
      </c>
      <c r="C29" s="152">
        <v>0.13</v>
      </c>
      <c r="D29" s="152">
        <v>0.14000000000000001</v>
      </c>
      <c r="E29" s="152">
        <v>0.15</v>
      </c>
      <c r="F29" s="152">
        <v>0.16</v>
      </c>
      <c r="G29" s="152">
        <v>0.17</v>
      </c>
      <c r="H29" s="155"/>
      <c r="I29" s="151">
        <v>0</v>
      </c>
      <c r="J29" s="151">
        <v>0.2</v>
      </c>
      <c r="K29" s="152">
        <v>0.14000000000000001</v>
      </c>
      <c r="L29" s="152">
        <v>0.15</v>
      </c>
      <c r="M29" s="152">
        <v>0.16</v>
      </c>
      <c r="N29" s="152">
        <v>0.17</v>
      </c>
      <c r="O29" s="152">
        <v>0.18</v>
      </c>
    </row>
    <row r="30" spans="1:15">
      <c r="A30" s="151">
        <v>0.55000000000000004</v>
      </c>
      <c r="B30" s="151">
        <v>0.57999999999999996</v>
      </c>
      <c r="C30" s="152">
        <v>0.14000000000000001</v>
      </c>
      <c r="D30" s="152">
        <v>0.15</v>
      </c>
      <c r="E30" s="159">
        <v>0.16</v>
      </c>
      <c r="F30" s="152">
        <v>0.17</v>
      </c>
      <c r="G30" s="152">
        <v>0.18</v>
      </c>
      <c r="H30" s="155"/>
      <c r="I30" s="151">
        <v>0.2</v>
      </c>
      <c r="J30" s="151">
        <v>0.25</v>
      </c>
      <c r="K30" s="152">
        <v>0.15</v>
      </c>
      <c r="L30" s="152">
        <v>0.16</v>
      </c>
      <c r="M30" s="152">
        <v>0.17</v>
      </c>
      <c r="N30" s="152">
        <v>0.18</v>
      </c>
      <c r="O30" s="152">
        <v>0.19</v>
      </c>
    </row>
    <row r="31" spans="1:15">
      <c r="A31" s="151">
        <v>0.57999999999999996</v>
      </c>
      <c r="B31" s="151">
        <v>0.61</v>
      </c>
      <c r="C31" s="152">
        <v>0.16500000000000001</v>
      </c>
      <c r="D31" s="152">
        <v>0.17499999999999999</v>
      </c>
      <c r="E31" s="152">
        <v>0.185</v>
      </c>
      <c r="F31" s="152">
        <v>0.19500000000000001</v>
      </c>
      <c r="G31" s="152">
        <v>0.20499999999999999</v>
      </c>
      <c r="H31" s="155"/>
      <c r="I31" s="151">
        <v>0.25</v>
      </c>
      <c r="J31" s="151">
        <v>0.3</v>
      </c>
      <c r="K31" s="152">
        <v>0.17499999999999999</v>
      </c>
      <c r="L31" s="152">
        <v>0.185</v>
      </c>
      <c r="M31" s="152">
        <v>0.19500000000000001</v>
      </c>
      <c r="N31" s="152">
        <v>0.20499999999999999</v>
      </c>
      <c r="O31" s="152">
        <v>0.215</v>
      </c>
    </row>
    <row r="32" spans="1:15">
      <c r="A32" s="151">
        <v>0.61</v>
      </c>
      <c r="B32" s="151">
        <v>0.64</v>
      </c>
      <c r="C32" s="152">
        <v>0.17499999999999999</v>
      </c>
      <c r="D32" s="152">
        <v>0.185</v>
      </c>
      <c r="E32" s="152">
        <v>0.19500000000000001</v>
      </c>
      <c r="F32" s="152">
        <v>0.20499999999999999</v>
      </c>
      <c r="G32" s="152">
        <v>0.215</v>
      </c>
      <c r="H32" s="155"/>
      <c r="I32" s="151">
        <v>0.3</v>
      </c>
      <c r="J32" s="151">
        <v>0.35</v>
      </c>
      <c r="K32" s="152">
        <v>0.185</v>
      </c>
      <c r="L32" s="152">
        <v>0.19500000000000001</v>
      </c>
      <c r="M32" s="152">
        <v>0.20499999999999999</v>
      </c>
      <c r="N32" s="152">
        <v>0.215</v>
      </c>
      <c r="O32" s="152">
        <v>0.22500000000000001</v>
      </c>
    </row>
    <row r="33" spans="1:15">
      <c r="A33" s="151">
        <v>0.64</v>
      </c>
      <c r="B33" s="151">
        <v>0.67</v>
      </c>
      <c r="C33" s="152">
        <v>0.19500000000000001</v>
      </c>
      <c r="D33" s="152">
        <v>0.20499999999999999</v>
      </c>
      <c r="E33" s="152">
        <v>0.215</v>
      </c>
      <c r="F33" s="152">
        <v>0.22500000000000001</v>
      </c>
      <c r="G33" s="152">
        <v>0.23499999999999999</v>
      </c>
      <c r="H33" s="155"/>
      <c r="I33" s="151">
        <v>0.35</v>
      </c>
      <c r="J33" s="151">
        <v>0.4</v>
      </c>
      <c r="K33" s="152">
        <v>0.20499999999999999</v>
      </c>
      <c r="L33" s="152">
        <v>0.215</v>
      </c>
      <c r="M33" s="152">
        <v>0.22500000000000001</v>
      </c>
      <c r="N33" s="152">
        <v>0.23499999999999999</v>
      </c>
      <c r="O33" s="152">
        <v>0.245</v>
      </c>
    </row>
    <row r="34" spans="1:15">
      <c r="A34" s="151">
        <v>0.67</v>
      </c>
      <c r="B34" s="151">
        <v>0.7</v>
      </c>
      <c r="C34" s="152">
        <v>0.22500000000000001</v>
      </c>
      <c r="D34" s="152">
        <v>0.23499999999999999</v>
      </c>
      <c r="E34" s="152">
        <v>0.245</v>
      </c>
      <c r="F34" s="152">
        <v>0.255</v>
      </c>
      <c r="G34" s="152">
        <v>0.26500000000000001</v>
      </c>
      <c r="H34" s="155"/>
      <c r="I34" s="151">
        <v>0.4</v>
      </c>
      <c r="J34" s="151">
        <v>0.45</v>
      </c>
      <c r="K34" s="152">
        <v>0.23499999999999999</v>
      </c>
      <c r="L34" s="152">
        <v>0.245</v>
      </c>
      <c r="M34" s="152">
        <v>0.255</v>
      </c>
      <c r="N34" s="152">
        <v>0.26500000000000001</v>
      </c>
      <c r="O34" s="152">
        <v>0.27500000000000002</v>
      </c>
    </row>
    <row r="35" spans="1:15">
      <c r="A35" s="151">
        <v>0.7</v>
      </c>
      <c r="B35" s="151">
        <v>1</v>
      </c>
      <c r="C35" s="152">
        <v>0.20499999999999999</v>
      </c>
      <c r="D35" s="152">
        <v>0.215</v>
      </c>
      <c r="E35" s="152">
        <v>0.22500000000000001</v>
      </c>
      <c r="F35" s="152">
        <v>0.23499999999999999</v>
      </c>
      <c r="G35" s="152">
        <v>0.245</v>
      </c>
      <c r="H35" s="155"/>
      <c r="I35" s="151">
        <v>0.45</v>
      </c>
      <c r="J35" s="151">
        <v>1</v>
      </c>
      <c r="K35" s="152">
        <v>0.22500000000000001</v>
      </c>
      <c r="L35" s="152">
        <v>0.23499999999999999</v>
      </c>
      <c r="M35" s="152">
        <v>0.245</v>
      </c>
      <c r="N35" s="152">
        <v>0.255</v>
      </c>
      <c r="O35" s="152">
        <v>0.26500000000000001</v>
      </c>
    </row>
    <row r="36" spans="1:15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</row>
    <row r="37" spans="1:15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</row>
    <row r="38" spans="1:15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</row>
    <row r="39" spans="1:15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</row>
    <row r="40" spans="1:15">
      <c r="A40" s="192" t="s">
        <v>31</v>
      </c>
      <c r="B40" s="193"/>
      <c r="C40" s="193"/>
      <c r="D40" s="193"/>
      <c r="E40" s="193"/>
      <c r="F40" s="193"/>
      <c r="G40" s="194"/>
      <c r="H40" s="155"/>
      <c r="I40" s="155"/>
      <c r="J40" s="155"/>
      <c r="K40" s="155"/>
      <c r="L40" s="155"/>
      <c r="M40" s="155"/>
      <c r="N40" s="155"/>
      <c r="O40" s="155"/>
    </row>
    <row r="41" spans="1:15">
      <c r="A41" s="195" t="s">
        <v>2</v>
      </c>
      <c r="B41" s="195"/>
      <c r="C41" s="196" t="s">
        <v>18</v>
      </c>
      <c r="D41" s="197"/>
      <c r="E41" s="197"/>
      <c r="F41" s="197"/>
      <c r="G41" s="198"/>
      <c r="H41" s="155"/>
      <c r="I41" s="155"/>
      <c r="J41" s="155"/>
      <c r="K41" s="155"/>
      <c r="L41" s="155"/>
      <c r="M41" s="155"/>
      <c r="N41" s="155"/>
      <c r="O41" s="155"/>
    </row>
    <row r="42" spans="1:15">
      <c r="A42" s="150" t="s">
        <v>4</v>
      </c>
      <c r="B42" s="150" t="s">
        <v>5</v>
      </c>
      <c r="C42" s="149" t="s">
        <v>11</v>
      </c>
      <c r="D42" s="149" t="s">
        <v>12</v>
      </c>
      <c r="E42" s="149" t="s">
        <v>32</v>
      </c>
      <c r="F42" s="149" t="s">
        <v>7</v>
      </c>
      <c r="G42" s="149" t="s">
        <v>33</v>
      </c>
      <c r="H42" s="158"/>
      <c r="I42" s="155"/>
      <c r="J42" s="155"/>
      <c r="K42" s="155"/>
      <c r="L42" s="155"/>
      <c r="M42" s="155"/>
      <c r="N42" s="155"/>
      <c r="O42" s="155"/>
    </row>
    <row r="43" spans="1:15">
      <c r="A43" s="151">
        <v>0</v>
      </c>
      <c r="B43" s="151">
        <v>0.25</v>
      </c>
      <c r="C43" s="152">
        <v>0.15</v>
      </c>
      <c r="D43" s="152">
        <v>0.16500000000000001</v>
      </c>
      <c r="E43" s="152">
        <v>0.18</v>
      </c>
      <c r="F43" s="152">
        <v>0.19500000000000001</v>
      </c>
      <c r="G43" s="152">
        <v>0.21</v>
      </c>
      <c r="H43" s="156"/>
      <c r="I43" s="156"/>
      <c r="J43" s="155"/>
      <c r="K43" s="155"/>
      <c r="L43" s="155"/>
      <c r="M43" s="155"/>
      <c r="N43" s="155"/>
      <c r="O43" s="155"/>
    </row>
    <row r="44" spans="1:15">
      <c r="A44" s="151">
        <v>0.25</v>
      </c>
      <c r="B44" s="151">
        <v>0.27</v>
      </c>
      <c r="C44" s="152">
        <v>0.16</v>
      </c>
      <c r="D44" s="152">
        <v>0.17499999999999999</v>
      </c>
      <c r="E44" s="152">
        <v>0.19</v>
      </c>
      <c r="F44" s="152">
        <v>0.20499999999999999</v>
      </c>
      <c r="G44" s="152">
        <v>0.22</v>
      </c>
      <c r="H44" s="156"/>
      <c r="I44" s="156"/>
      <c r="J44" s="155"/>
      <c r="K44" s="155"/>
      <c r="L44" s="155"/>
      <c r="M44" s="155"/>
      <c r="N44" s="155"/>
      <c r="O44" s="155"/>
    </row>
    <row r="45" spans="1:15">
      <c r="A45" s="151">
        <v>0.27</v>
      </c>
      <c r="B45" s="151">
        <v>0.28999999999999998</v>
      </c>
      <c r="C45" s="152">
        <v>0.17</v>
      </c>
      <c r="D45" s="152">
        <v>0.185</v>
      </c>
      <c r="E45" s="152">
        <v>0.2</v>
      </c>
      <c r="F45" s="152">
        <v>0.215</v>
      </c>
      <c r="G45" s="152">
        <v>0.23</v>
      </c>
      <c r="H45" s="156"/>
      <c r="I45" s="156"/>
      <c r="J45" s="155"/>
      <c r="K45" s="155"/>
      <c r="L45" s="155"/>
      <c r="M45" s="155"/>
      <c r="N45" s="155"/>
      <c r="O45" s="155"/>
    </row>
    <row r="46" spans="1:15">
      <c r="A46" s="151">
        <v>0.28999999999999998</v>
      </c>
      <c r="B46" s="151">
        <v>0.31</v>
      </c>
      <c r="C46" s="152">
        <v>0.18</v>
      </c>
      <c r="D46" s="152">
        <v>0.19500000000000001</v>
      </c>
      <c r="E46" s="152">
        <v>0.21</v>
      </c>
      <c r="F46" s="152">
        <v>0.22500000000000001</v>
      </c>
      <c r="G46" s="152">
        <v>0.24</v>
      </c>
      <c r="H46" s="155"/>
      <c r="I46" s="155"/>
      <c r="J46" s="155"/>
      <c r="K46" s="155"/>
      <c r="L46" s="155"/>
      <c r="M46" s="155"/>
      <c r="N46" s="155"/>
      <c r="O46" s="155"/>
    </row>
    <row r="47" spans="1:15">
      <c r="A47" s="151">
        <v>0.31</v>
      </c>
      <c r="B47" s="151">
        <v>0.33</v>
      </c>
      <c r="C47" s="152">
        <v>0.19</v>
      </c>
      <c r="D47" s="152">
        <v>0.20499999999999999</v>
      </c>
      <c r="E47" s="152">
        <v>0.22</v>
      </c>
      <c r="F47" s="152">
        <v>0.23499999999999999</v>
      </c>
      <c r="G47" s="152">
        <v>0.25</v>
      </c>
      <c r="H47" s="155"/>
      <c r="I47" s="155"/>
      <c r="J47" s="155"/>
      <c r="K47" s="155"/>
      <c r="L47" s="155"/>
      <c r="M47" s="155"/>
      <c r="N47" s="155"/>
      <c r="O47" s="155"/>
    </row>
    <row r="48" spans="1:15">
      <c r="A48" s="151">
        <v>0.33</v>
      </c>
      <c r="B48" s="151">
        <v>0.35</v>
      </c>
      <c r="C48" s="152">
        <v>0.2</v>
      </c>
      <c r="D48" s="152">
        <v>0.215</v>
      </c>
      <c r="E48" s="152">
        <v>0.23</v>
      </c>
      <c r="F48" s="152">
        <v>0.245</v>
      </c>
      <c r="G48" s="152">
        <v>0.26</v>
      </c>
      <c r="H48" s="155"/>
      <c r="I48" s="155"/>
      <c r="J48" s="155"/>
      <c r="K48" s="155"/>
      <c r="L48" s="155"/>
      <c r="M48" s="155"/>
      <c r="N48" s="155"/>
      <c r="O48" s="155"/>
    </row>
    <row r="49" spans="1:15">
      <c r="A49" s="151">
        <v>0.35</v>
      </c>
      <c r="B49" s="151">
        <v>0.37</v>
      </c>
      <c r="C49" s="152">
        <v>0.21</v>
      </c>
      <c r="D49" s="152">
        <v>0.22500000000000001</v>
      </c>
      <c r="E49" s="152">
        <v>0.24</v>
      </c>
      <c r="F49" s="152">
        <v>0.255</v>
      </c>
      <c r="G49" s="152">
        <v>0.27</v>
      </c>
      <c r="H49" s="155"/>
      <c r="I49" s="155"/>
      <c r="J49" s="155"/>
      <c r="K49" s="155"/>
      <c r="L49" s="155"/>
      <c r="M49" s="155"/>
      <c r="N49" s="155"/>
      <c r="O49" s="155"/>
    </row>
    <row r="50" spans="1:15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</row>
    <row r="51" spans="1:15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</row>
    <row r="52" spans="1:15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</row>
    <row r="53" spans="1:15">
      <c r="A53" s="192" t="s">
        <v>34</v>
      </c>
      <c r="B53" s="193"/>
      <c r="C53" s="193"/>
      <c r="D53" s="193"/>
      <c r="E53" s="193"/>
      <c r="F53" s="193"/>
      <c r="G53" s="194"/>
      <c r="H53" s="155"/>
      <c r="I53" s="155"/>
      <c r="J53" s="155"/>
      <c r="K53" s="155"/>
      <c r="L53" s="155"/>
      <c r="M53" s="155"/>
      <c r="N53" s="155"/>
      <c r="O53" s="155"/>
    </row>
    <row r="54" spans="1:15">
      <c r="A54" s="195" t="s">
        <v>2</v>
      </c>
      <c r="B54" s="195"/>
      <c r="C54" s="196" t="s">
        <v>18</v>
      </c>
      <c r="D54" s="197"/>
      <c r="E54" s="197"/>
      <c r="F54" s="197"/>
      <c r="G54" s="198"/>
      <c r="H54" s="158"/>
      <c r="I54" s="155"/>
      <c r="J54" s="155"/>
      <c r="K54" s="155"/>
      <c r="L54" s="155"/>
      <c r="M54" s="155"/>
      <c r="N54" s="155"/>
      <c r="O54" s="155"/>
    </row>
    <row r="55" spans="1:15">
      <c r="A55" s="150" t="s">
        <v>4</v>
      </c>
      <c r="B55" s="150" t="s">
        <v>5</v>
      </c>
      <c r="C55" s="149" t="s">
        <v>11</v>
      </c>
      <c r="D55" s="149" t="s">
        <v>12</v>
      </c>
      <c r="E55" s="149" t="s">
        <v>32</v>
      </c>
      <c r="F55" s="149" t="s">
        <v>7</v>
      </c>
      <c r="G55" s="149" t="s">
        <v>33</v>
      </c>
      <c r="H55" s="155"/>
      <c r="I55" s="155"/>
      <c r="J55" s="155"/>
      <c r="K55" s="155"/>
      <c r="L55" s="155"/>
      <c r="M55" s="155"/>
      <c r="N55" s="155"/>
      <c r="O55" s="155"/>
    </row>
    <row r="56" spans="1:15">
      <c r="A56" s="151">
        <v>0</v>
      </c>
      <c r="B56" s="151">
        <v>0.25</v>
      </c>
      <c r="C56" s="152">
        <v>0.17</v>
      </c>
      <c r="D56" s="152">
        <v>0.185</v>
      </c>
      <c r="E56" s="152">
        <v>0.2</v>
      </c>
      <c r="F56" s="152">
        <v>0.215</v>
      </c>
      <c r="G56" s="152">
        <v>0.23</v>
      </c>
      <c r="H56" s="156"/>
      <c r="I56" s="155"/>
      <c r="J56" s="155"/>
      <c r="K56" s="155"/>
      <c r="L56" s="155"/>
      <c r="M56" s="155"/>
      <c r="N56" s="155"/>
      <c r="O56" s="155"/>
    </row>
    <row r="57" spans="1:15">
      <c r="A57" s="151">
        <v>0.25</v>
      </c>
      <c r="B57" s="151">
        <v>0.27</v>
      </c>
      <c r="C57" s="152">
        <v>0.18</v>
      </c>
      <c r="D57" s="152">
        <v>0.19500000000000001</v>
      </c>
      <c r="E57" s="152">
        <v>0.21</v>
      </c>
      <c r="F57" s="152">
        <v>0.22500000000000001</v>
      </c>
      <c r="G57" s="152">
        <v>0.24</v>
      </c>
      <c r="H57" s="156"/>
      <c r="I57" s="155"/>
      <c r="J57" s="155"/>
      <c r="K57" s="155"/>
      <c r="L57" s="155"/>
      <c r="M57" s="155"/>
      <c r="N57" s="155"/>
      <c r="O57" s="155"/>
    </row>
    <row r="58" spans="1:15">
      <c r="A58" s="151">
        <v>0.27</v>
      </c>
      <c r="B58" s="151">
        <v>0.28999999999999998</v>
      </c>
      <c r="C58" s="152">
        <v>0.19</v>
      </c>
      <c r="D58" s="152">
        <v>0.20499999999999999</v>
      </c>
      <c r="E58" s="152">
        <v>0.22</v>
      </c>
      <c r="F58" s="152">
        <v>0.23499999999999999</v>
      </c>
      <c r="G58" s="152">
        <v>0.25</v>
      </c>
      <c r="H58" s="156"/>
      <c r="I58" s="155"/>
      <c r="J58" s="155"/>
      <c r="K58" s="155"/>
      <c r="L58" s="155"/>
      <c r="M58" s="155"/>
      <c r="N58" s="155"/>
      <c r="O58" s="155"/>
    </row>
    <row r="59" spans="1:15">
      <c r="A59" s="151">
        <v>0.28999999999999998</v>
      </c>
      <c r="B59" s="151">
        <v>0.31</v>
      </c>
      <c r="C59" s="152">
        <v>0.2</v>
      </c>
      <c r="D59" s="152">
        <v>0.215</v>
      </c>
      <c r="E59" s="152">
        <v>0.23</v>
      </c>
      <c r="F59" s="152">
        <v>0.245</v>
      </c>
      <c r="G59" s="152">
        <v>0.26</v>
      </c>
      <c r="H59" s="155"/>
      <c r="I59" s="155"/>
      <c r="J59" s="155"/>
      <c r="K59" s="155"/>
      <c r="L59" s="155"/>
      <c r="M59" s="155"/>
      <c r="N59" s="155"/>
      <c r="O59" s="155"/>
    </row>
    <row r="60" spans="1:15">
      <c r="A60" s="151">
        <v>0.31</v>
      </c>
      <c r="B60" s="151">
        <v>0.33</v>
      </c>
      <c r="C60" s="152">
        <v>0.21</v>
      </c>
      <c r="D60" s="152">
        <v>0.22500000000000001</v>
      </c>
      <c r="E60" s="152">
        <v>0.24</v>
      </c>
      <c r="F60" s="152">
        <v>0.255</v>
      </c>
      <c r="G60" s="152">
        <v>0.27</v>
      </c>
      <c r="H60" s="155"/>
      <c r="I60" s="155"/>
      <c r="J60" s="155"/>
      <c r="K60" s="155"/>
      <c r="L60" s="155"/>
      <c r="M60" s="155"/>
      <c r="N60" s="155"/>
      <c r="O60" s="155"/>
    </row>
    <row r="61" spans="1:15">
      <c r="A61" s="151">
        <v>0.33</v>
      </c>
      <c r="B61" s="151">
        <v>0.35</v>
      </c>
      <c r="C61" s="152">
        <v>0.22</v>
      </c>
      <c r="D61" s="152">
        <v>0.23499999999999999</v>
      </c>
      <c r="E61" s="152">
        <v>0.25</v>
      </c>
      <c r="F61" s="152">
        <v>0.26500000000000001</v>
      </c>
      <c r="G61" s="152">
        <v>0.28000000000000003</v>
      </c>
      <c r="H61" s="155"/>
      <c r="I61" s="155"/>
      <c r="J61" s="155"/>
      <c r="K61" s="155"/>
      <c r="L61" s="155"/>
      <c r="M61" s="155"/>
      <c r="N61" s="155"/>
      <c r="O61" s="155"/>
    </row>
    <row r="62" spans="1:15">
      <c r="A62" s="151">
        <v>0.35</v>
      </c>
      <c r="B62" s="151">
        <v>0.37</v>
      </c>
      <c r="C62" s="152">
        <v>0.23</v>
      </c>
      <c r="D62" s="152">
        <v>0.245</v>
      </c>
      <c r="E62" s="152">
        <v>0.26</v>
      </c>
      <c r="F62" s="152">
        <v>0.27500000000000002</v>
      </c>
      <c r="G62" s="152">
        <v>0.28999999999999998</v>
      </c>
      <c r="H62" s="155"/>
      <c r="I62" s="155"/>
      <c r="J62" s="155"/>
      <c r="K62" s="155"/>
      <c r="L62" s="155"/>
      <c r="M62" s="155"/>
      <c r="N62" s="155"/>
      <c r="O62" s="155"/>
    </row>
    <row r="63" spans="1:15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</row>
    <row r="64" spans="1:15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</row>
    <row r="65" spans="1:15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</row>
    <row r="66" spans="1:15" ht="25.5">
      <c r="A66" s="160" t="s">
        <v>35</v>
      </c>
      <c r="B66" s="161" t="s">
        <v>36</v>
      </c>
      <c r="C66" s="160" t="s">
        <v>37</v>
      </c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</row>
    <row r="67" spans="1:15">
      <c r="A67" s="162" t="s">
        <v>38</v>
      </c>
      <c r="B67" s="163">
        <v>0.05</v>
      </c>
      <c r="C67" s="162">
        <v>5000</v>
      </c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</row>
    <row r="68" spans="1:15">
      <c r="A68" s="162" t="s">
        <v>39</v>
      </c>
      <c r="B68" s="165">
        <v>7.4999999999999997E-2</v>
      </c>
      <c r="C68" s="162">
        <v>10000</v>
      </c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</row>
    <row r="69" spans="1:15">
      <c r="A69" s="162" t="s">
        <v>40</v>
      </c>
      <c r="B69" s="163">
        <v>0.1</v>
      </c>
      <c r="C69" s="162">
        <v>20000</v>
      </c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</row>
    <row r="70" spans="1:15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</row>
    <row r="71" spans="1:15">
      <c r="A71" s="160" t="s">
        <v>41</v>
      </c>
      <c r="B71" s="160" t="s">
        <v>37</v>
      </c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</row>
    <row r="72" spans="1:15">
      <c r="A72" s="162" t="s">
        <v>42</v>
      </c>
      <c r="B72" s="162">
        <v>25000</v>
      </c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</row>
    <row r="73" spans="1:15">
      <c r="A73" s="162" t="s">
        <v>43</v>
      </c>
      <c r="B73" s="162">
        <v>150000</v>
      </c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</row>
    <row r="74" spans="1:15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</row>
    <row r="75" spans="1:15">
      <c r="A75" s="155"/>
      <c r="B75" s="155"/>
      <c r="C75" s="155"/>
      <c r="D75" s="155"/>
      <c r="E75" s="155"/>
      <c r="F75" s="155"/>
      <c r="I75" s="179"/>
      <c r="J75" s="179"/>
      <c r="K75" s="155"/>
      <c r="L75" s="155"/>
    </row>
    <row r="76" spans="1:15">
      <c r="A76" s="155"/>
      <c r="B76" s="155"/>
      <c r="C76" s="155"/>
      <c r="D76" s="155"/>
      <c r="E76" s="155"/>
      <c r="F76" s="155"/>
      <c r="I76" s="179"/>
      <c r="J76" s="179"/>
      <c r="K76" s="155"/>
      <c r="L76" s="155"/>
    </row>
    <row r="77" spans="1:15">
      <c r="A77" s="166" t="s">
        <v>44</v>
      </c>
      <c r="B77" s="202" t="s">
        <v>45</v>
      </c>
      <c r="C77" s="203"/>
      <c r="D77" s="204"/>
      <c r="E77" s="205" t="s">
        <v>46</v>
      </c>
      <c r="F77" s="206"/>
      <c r="G77" s="205" t="s">
        <v>46</v>
      </c>
      <c r="H77" s="207"/>
      <c r="I77" s="207"/>
      <c r="J77" s="206"/>
      <c r="K77" s="155"/>
      <c r="L77" s="155"/>
    </row>
    <row r="78" spans="1:15">
      <c r="A78" s="167" t="s">
        <v>47</v>
      </c>
      <c r="B78" s="168">
        <v>1</v>
      </c>
      <c r="C78" s="168">
        <v>2</v>
      </c>
      <c r="D78" s="168">
        <v>3</v>
      </c>
      <c r="E78" s="181" t="s">
        <v>48</v>
      </c>
      <c r="F78" s="182" t="s">
        <v>49</v>
      </c>
      <c r="G78" s="181" t="s">
        <v>48</v>
      </c>
      <c r="H78" s="182" t="s">
        <v>49</v>
      </c>
      <c r="I78" s="182" t="s">
        <v>49</v>
      </c>
      <c r="J78" s="182" t="s">
        <v>49</v>
      </c>
      <c r="K78" s="155"/>
      <c r="L78" s="155"/>
    </row>
    <row r="79" spans="1:15">
      <c r="A79" s="169" t="s">
        <v>50</v>
      </c>
      <c r="B79" s="170">
        <v>0.03</v>
      </c>
      <c r="C79" s="170">
        <v>3.2500000000000001E-2</v>
      </c>
      <c r="D79" s="170">
        <v>3.5000000000000003E-2</v>
      </c>
      <c r="E79" s="182" t="s">
        <v>51</v>
      </c>
      <c r="F79" s="182" t="s">
        <v>52</v>
      </c>
      <c r="G79" s="183" t="s">
        <v>51</v>
      </c>
      <c r="H79" s="182" t="s">
        <v>53</v>
      </c>
      <c r="I79" s="182" t="s">
        <v>54</v>
      </c>
      <c r="J79" s="182" t="s">
        <v>55</v>
      </c>
      <c r="K79" s="155"/>
      <c r="L79" s="155"/>
    </row>
    <row r="80" spans="1:15">
      <c r="A80" s="171" t="s">
        <v>56</v>
      </c>
      <c r="B80" s="170">
        <v>3.2500000000000001E-2</v>
      </c>
      <c r="C80" s="170">
        <v>3.5000000000000003E-2</v>
      </c>
      <c r="D80" s="170">
        <v>3.5000000000000003E-2</v>
      </c>
      <c r="E80" s="184" t="s">
        <v>57</v>
      </c>
      <c r="F80" s="185" t="s">
        <v>58</v>
      </c>
      <c r="G80" s="186" t="s">
        <v>59</v>
      </c>
      <c r="H80" s="187">
        <v>7.0000000000000007E-2</v>
      </c>
      <c r="I80" s="187">
        <v>0.1</v>
      </c>
      <c r="J80" s="187">
        <v>0.22</v>
      </c>
      <c r="K80" s="155"/>
      <c r="L80" s="155"/>
    </row>
    <row r="81" spans="1:15">
      <c r="A81" s="171" t="s">
        <v>60</v>
      </c>
      <c r="B81" s="170">
        <v>3.5000000000000003E-2</v>
      </c>
      <c r="C81" s="170">
        <v>0.04</v>
      </c>
      <c r="D81" s="170">
        <v>0.04</v>
      </c>
      <c r="E81" s="184" t="s">
        <v>61</v>
      </c>
      <c r="F81" s="185">
        <v>0.08</v>
      </c>
      <c r="G81" s="186" t="s">
        <v>62</v>
      </c>
      <c r="H81" s="187">
        <v>0.09</v>
      </c>
      <c r="I81" s="187">
        <v>0.15</v>
      </c>
      <c r="J81" s="187">
        <v>0.25</v>
      </c>
      <c r="K81" s="155"/>
      <c r="L81" s="155"/>
    </row>
    <row r="82" spans="1:15">
      <c r="A82" s="171" t="s">
        <v>63</v>
      </c>
      <c r="B82" s="170">
        <v>3.7499999999999999E-2</v>
      </c>
      <c r="C82" s="170">
        <v>4.4999999999999998E-2</v>
      </c>
      <c r="D82" s="170">
        <v>4.4999999999999998E-2</v>
      </c>
      <c r="E82" s="184" t="s">
        <v>64</v>
      </c>
      <c r="F82" s="185">
        <v>0.13</v>
      </c>
      <c r="G82" s="186" t="s">
        <v>65</v>
      </c>
      <c r="H82" s="187">
        <v>0.13</v>
      </c>
      <c r="I82" s="187">
        <v>0.15</v>
      </c>
      <c r="J82" s="187">
        <v>0.18</v>
      </c>
      <c r="K82" s="155"/>
      <c r="L82" s="155"/>
      <c r="M82" s="155"/>
      <c r="N82" s="155"/>
      <c r="O82" s="155"/>
    </row>
    <row r="83" spans="1:15">
      <c r="A83" s="171" t="s">
        <v>66</v>
      </c>
      <c r="B83" s="170">
        <v>0.04</v>
      </c>
      <c r="C83" s="170">
        <v>0.05</v>
      </c>
      <c r="D83" s="170">
        <v>0.05</v>
      </c>
      <c r="E83" s="184" t="s">
        <v>67</v>
      </c>
      <c r="F83" s="185">
        <v>0.18</v>
      </c>
      <c r="G83" s="186" t="s">
        <v>68</v>
      </c>
      <c r="H83" s="187">
        <v>0.18</v>
      </c>
      <c r="I83" s="187">
        <v>0.21</v>
      </c>
      <c r="J83" s="187">
        <v>0.23</v>
      </c>
      <c r="K83" s="155"/>
      <c r="L83" s="155"/>
      <c r="M83" s="155"/>
      <c r="N83" s="155"/>
      <c r="O83" s="155"/>
    </row>
    <row r="84" spans="1:15">
      <c r="A84" s="171" t="s">
        <v>69</v>
      </c>
      <c r="B84" s="170">
        <v>4.2500000000000003E-2</v>
      </c>
      <c r="C84" s="170">
        <v>5.5E-2</v>
      </c>
      <c r="D84" s="170">
        <v>5.5E-2</v>
      </c>
      <c r="E84" s="184" t="s">
        <v>70</v>
      </c>
      <c r="F84" s="185">
        <v>0.23</v>
      </c>
      <c r="G84" s="186" t="s">
        <v>71</v>
      </c>
      <c r="H84" s="187">
        <v>0.22</v>
      </c>
      <c r="I84" s="187">
        <v>0.25</v>
      </c>
      <c r="J84" s="187">
        <v>0.27</v>
      </c>
      <c r="K84" s="155"/>
      <c r="L84" s="155"/>
      <c r="M84" s="155"/>
      <c r="N84" s="155"/>
      <c r="O84" s="155"/>
    </row>
    <row r="85" spans="1:15">
      <c r="A85" s="171" t="s">
        <v>72</v>
      </c>
      <c r="B85" s="170">
        <v>4.4999999999999998E-2</v>
      </c>
      <c r="C85" s="170">
        <v>0.06</v>
      </c>
      <c r="D85" s="170">
        <v>0.06</v>
      </c>
      <c r="E85" s="155"/>
      <c r="F85" s="155"/>
      <c r="K85" s="155"/>
      <c r="L85" s="155"/>
      <c r="M85" s="155"/>
      <c r="N85" s="155"/>
      <c r="O85" s="155"/>
    </row>
    <row r="86" spans="1:15">
      <c r="A86" s="171" t="s">
        <v>73</v>
      </c>
      <c r="B86" s="170">
        <v>4.7500000000000001E-2</v>
      </c>
      <c r="C86" s="170">
        <v>6.5000000000000002E-2</v>
      </c>
      <c r="D86" s="170">
        <v>6.5000000000000002E-2</v>
      </c>
      <c r="E86" s="155"/>
      <c r="F86" s="155"/>
      <c r="K86" s="155"/>
      <c r="L86" s="155"/>
      <c r="M86" s="155"/>
      <c r="N86" s="155"/>
      <c r="O86" s="155"/>
    </row>
    <row r="87" spans="1:15">
      <c r="A87" s="171" t="s">
        <v>74</v>
      </c>
      <c r="B87" s="170" t="s">
        <v>400</v>
      </c>
      <c r="C87" s="170">
        <v>0.1</v>
      </c>
      <c r="D87" s="170">
        <v>0.1</v>
      </c>
      <c r="E87" s="155"/>
      <c r="F87" s="155"/>
      <c r="K87" s="155"/>
      <c r="L87" s="155"/>
      <c r="M87" s="155"/>
      <c r="N87" s="155"/>
      <c r="O87" s="155"/>
    </row>
    <row r="88" spans="1:15">
      <c r="A88" s="172" t="s">
        <v>75</v>
      </c>
      <c r="B88" s="173">
        <v>0.09</v>
      </c>
      <c r="C88" s="173">
        <v>0.09</v>
      </c>
      <c r="D88" s="173">
        <v>0.09</v>
      </c>
      <c r="E88" s="155"/>
      <c r="F88" s="155"/>
      <c r="K88" s="155"/>
      <c r="L88" s="155"/>
      <c r="M88" s="155"/>
      <c r="N88" s="155"/>
      <c r="O88" s="155"/>
    </row>
    <row r="89" spans="1:15">
      <c r="A89" s="155"/>
      <c r="B89" s="155"/>
      <c r="C89" s="155"/>
      <c r="D89" s="155"/>
      <c r="E89" s="155"/>
      <c r="F89" s="155"/>
      <c r="K89" s="155"/>
      <c r="L89" s="155"/>
      <c r="M89" s="155"/>
      <c r="N89" s="155"/>
      <c r="O89" s="155"/>
    </row>
    <row r="90" spans="1:15">
      <c r="A90" s="208" t="s">
        <v>76</v>
      </c>
      <c r="B90" s="208"/>
      <c r="C90" s="208"/>
      <c r="D90" s="174"/>
      <c r="E90" s="208" t="s">
        <v>77</v>
      </c>
      <c r="F90" s="208"/>
      <c r="G90" s="208"/>
      <c r="K90" s="155"/>
      <c r="L90" s="155"/>
      <c r="M90" s="155"/>
      <c r="N90" s="155"/>
      <c r="O90" s="155"/>
    </row>
    <row r="91" spans="1:15">
      <c r="A91" s="175" t="s">
        <v>47</v>
      </c>
      <c r="B91" s="175" t="s">
        <v>78</v>
      </c>
      <c r="C91" s="175" t="s">
        <v>79</v>
      </c>
      <c r="D91" s="174"/>
      <c r="E91" s="175" t="s">
        <v>47</v>
      </c>
      <c r="F91" s="175" t="s">
        <v>78</v>
      </c>
      <c r="G91" s="175" t="s">
        <v>79</v>
      </c>
      <c r="K91" s="155"/>
      <c r="L91" s="155"/>
      <c r="M91" s="155"/>
      <c r="N91" s="155"/>
      <c r="O91" s="155"/>
    </row>
    <row r="92" spans="1:15">
      <c r="A92" s="176" t="s">
        <v>80</v>
      </c>
      <c r="B92" s="177">
        <v>0.15</v>
      </c>
      <c r="C92" s="177">
        <v>0.18</v>
      </c>
      <c r="D92" s="174"/>
      <c r="E92" s="176" t="s">
        <v>81</v>
      </c>
      <c r="F92" s="178">
        <v>0.24</v>
      </c>
      <c r="G92" s="178">
        <v>0.25</v>
      </c>
      <c r="K92" s="155"/>
      <c r="L92" s="155"/>
      <c r="M92" s="155"/>
      <c r="N92" s="155"/>
      <c r="O92" s="155"/>
    </row>
    <row r="93" spans="1:15">
      <c r="A93" s="176" t="s">
        <v>82</v>
      </c>
      <c r="B93" s="178">
        <v>0.18</v>
      </c>
      <c r="C93" s="178">
        <v>0.2</v>
      </c>
      <c r="D93" s="174"/>
      <c r="E93" s="176" t="s">
        <v>56</v>
      </c>
      <c r="F93" s="178">
        <v>0.27</v>
      </c>
      <c r="G93" s="178">
        <v>0.28000000000000003</v>
      </c>
    </row>
    <row r="94" spans="1:15">
      <c r="A94" s="176" t="s">
        <v>56</v>
      </c>
      <c r="B94" s="178">
        <v>0.2</v>
      </c>
      <c r="C94" s="178">
        <v>0.24</v>
      </c>
      <c r="D94" s="174"/>
      <c r="E94" s="176" t="s">
        <v>60</v>
      </c>
      <c r="F94" s="178">
        <v>0.3</v>
      </c>
      <c r="G94" s="178">
        <v>0.31</v>
      </c>
    </row>
    <row r="95" spans="1:15">
      <c r="A95" s="176" t="s">
        <v>60</v>
      </c>
      <c r="B95" s="178">
        <v>0.22</v>
      </c>
      <c r="C95" s="178">
        <v>0.27</v>
      </c>
      <c r="D95" s="174"/>
      <c r="E95" s="176" t="s">
        <v>63</v>
      </c>
      <c r="F95" s="178">
        <v>0.33</v>
      </c>
      <c r="G95" s="178">
        <v>0.33</v>
      </c>
    </row>
    <row r="96" spans="1:15">
      <c r="A96" s="176" t="s">
        <v>63</v>
      </c>
      <c r="B96" s="178">
        <v>0.25</v>
      </c>
      <c r="C96" s="178">
        <v>0.3</v>
      </c>
      <c r="D96" s="174"/>
      <c r="E96" s="176" t="s">
        <v>66</v>
      </c>
      <c r="F96" s="178">
        <v>0.35</v>
      </c>
      <c r="G96" s="178">
        <v>0.36</v>
      </c>
    </row>
    <row r="97" spans="1:7">
      <c r="A97" s="176" t="s">
        <v>66</v>
      </c>
      <c r="B97" s="178">
        <v>0.27</v>
      </c>
      <c r="C97" s="178">
        <v>0.33</v>
      </c>
      <c r="D97" s="174"/>
      <c r="E97" s="176" t="s">
        <v>69</v>
      </c>
      <c r="F97" s="178">
        <v>0.37</v>
      </c>
      <c r="G97" s="178">
        <v>0.38</v>
      </c>
    </row>
    <row r="98" spans="1:7">
      <c r="A98" s="176" t="s">
        <v>69</v>
      </c>
      <c r="B98" s="178">
        <v>0.28999999999999998</v>
      </c>
      <c r="C98" s="178">
        <v>0.36</v>
      </c>
      <c r="D98" s="174"/>
      <c r="E98" s="176" t="s">
        <v>72</v>
      </c>
      <c r="F98" s="178">
        <v>0.4</v>
      </c>
      <c r="G98" s="178">
        <v>0.41</v>
      </c>
    </row>
    <row r="99" spans="1:7">
      <c r="A99" s="176" t="s">
        <v>72</v>
      </c>
      <c r="B99" s="178">
        <v>0.32</v>
      </c>
      <c r="C99" s="178">
        <v>0.38</v>
      </c>
      <c r="D99" s="174"/>
      <c r="E99" s="176" t="s">
        <v>73</v>
      </c>
      <c r="F99" s="178">
        <v>0.43</v>
      </c>
      <c r="G99" s="178">
        <v>0.43</v>
      </c>
    </row>
    <row r="100" spans="1:7">
      <c r="A100" s="176" t="s">
        <v>73</v>
      </c>
      <c r="B100" s="178">
        <v>0.34</v>
      </c>
      <c r="C100" s="178">
        <v>0.41</v>
      </c>
      <c r="D100" s="174"/>
      <c r="E100" s="176" t="s">
        <v>74</v>
      </c>
      <c r="F100" s="178">
        <v>0.45</v>
      </c>
      <c r="G100" s="178">
        <v>0.45</v>
      </c>
    </row>
    <row r="101" spans="1:7">
      <c r="A101" s="176" t="s">
        <v>74</v>
      </c>
      <c r="B101" s="178">
        <v>0.4</v>
      </c>
      <c r="C101" s="178">
        <v>0.4</v>
      </c>
      <c r="D101" s="174"/>
      <c r="E101" s="176" t="s">
        <v>83</v>
      </c>
      <c r="F101" s="178">
        <v>0.3</v>
      </c>
      <c r="G101" s="178">
        <v>0.3</v>
      </c>
    </row>
    <row r="102" spans="1:7">
      <c r="A102" s="176" t="s">
        <v>83</v>
      </c>
      <c r="B102" s="178">
        <v>0.2</v>
      </c>
      <c r="C102" s="178">
        <v>0.25</v>
      </c>
      <c r="D102" s="174"/>
      <c r="E102" s="176" t="s">
        <v>84</v>
      </c>
      <c r="F102" s="178">
        <v>0.41</v>
      </c>
      <c r="G102" s="178">
        <v>0.41</v>
      </c>
    </row>
    <row r="103" spans="1:7">
      <c r="A103" s="176" t="s">
        <v>84</v>
      </c>
      <c r="B103" s="178">
        <v>0.4</v>
      </c>
      <c r="C103" s="178">
        <v>0.4</v>
      </c>
      <c r="D103" s="174"/>
      <c r="E103" s="174"/>
      <c r="F103" s="174"/>
      <c r="G103" s="174"/>
    </row>
  </sheetData>
  <mergeCells count="31">
    <mergeCell ref="B77:D77"/>
    <mergeCell ref="E77:F77"/>
    <mergeCell ref="G77:J77"/>
    <mergeCell ref="A90:C90"/>
    <mergeCell ref="E90:G90"/>
    <mergeCell ref="A40:G40"/>
    <mergeCell ref="A41:B41"/>
    <mergeCell ref="C41:G41"/>
    <mergeCell ref="A53:G53"/>
    <mergeCell ref="A54:B54"/>
    <mergeCell ref="C54:G54"/>
    <mergeCell ref="A26:G26"/>
    <mergeCell ref="I26:O26"/>
    <mergeCell ref="A27:B27"/>
    <mergeCell ref="C27:G27"/>
    <mergeCell ref="I27:J27"/>
    <mergeCell ref="K27:O27"/>
    <mergeCell ref="I9:J9"/>
    <mergeCell ref="A10:B10"/>
    <mergeCell ref="A12:G12"/>
    <mergeCell ref="I12:O12"/>
    <mergeCell ref="A13:B13"/>
    <mergeCell ref="C13:G13"/>
    <mergeCell ref="I13:J13"/>
    <mergeCell ref="K13:O13"/>
    <mergeCell ref="A1:G1"/>
    <mergeCell ref="I1:O1"/>
    <mergeCell ref="A2:B2"/>
    <mergeCell ref="C2:G2"/>
    <mergeCell ref="I2:J2"/>
    <mergeCell ref="K2:O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topLeftCell="E7" workbookViewId="0">
      <selection activeCell="Y1" sqref="Y1:AA1"/>
    </sheetView>
  </sheetViews>
  <sheetFormatPr defaultColWidth="9" defaultRowHeight="15"/>
  <cols>
    <col min="1" max="1" width="17" bestFit="1" customWidth="1"/>
    <col min="2" max="2" width="6.5703125" bestFit="1" customWidth="1"/>
    <col min="3" max="3" width="7" customWidth="1"/>
    <col min="4" max="4" width="7.140625" customWidth="1"/>
    <col min="5" max="6" width="13.7109375" customWidth="1"/>
    <col min="7" max="7" width="7.140625" bestFit="1" customWidth="1"/>
    <col min="8" max="8" width="7.7109375" customWidth="1"/>
    <col min="9" max="9" width="5.140625" customWidth="1"/>
    <col min="10" max="10" width="7.28515625" customWidth="1"/>
    <col min="11" max="12" width="7.7109375" customWidth="1"/>
    <col min="13" max="13" width="7.140625" bestFit="1" customWidth="1"/>
    <col min="14" max="14" width="7.7109375" customWidth="1"/>
    <col min="15" max="15" width="6.85546875" customWidth="1"/>
    <col min="16" max="16" width="7.7109375" customWidth="1"/>
    <col min="17" max="17" width="5.85546875" customWidth="1"/>
    <col min="18" max="18" width="6.5703125" customWidth="1"/>
    <col min="19" max="19" width="7.140625" customWidth="1"/>
    <col min="20" max="23" width="7.140625" bestFit="1" customWidth="1"/>
    <col min="24" max="24" width="7.7109375" customWidth="1"/>
    <col min="25" max="25" width="19.85546875" bestFit="1" customWidth="1"/>
    <col min="26" max="26" width="4.7109375" customWidth="1"/>
    <col min="27" max="27" width="4" bestFit="1" customWidth="1"/>
  </cols>
  <sheetData>
    <row r="1" spans="1:27" ht="36" customHeight="1">
      <c r="A1" s="215" t="s">
        <v>85</v>
      </c>
      <c r="B1" s="216"/>
      <c r="C1" s="216"/>
      <c r="D1" s="216"/>
      <c r="E1" s="216"/>
      <c r="F1" s="216"/>
      <c r="G1" s="216"/>
      <c r="H1" s="217"/>
      <c r="I1" s="218" t="s">
        <v>86</v>
      </c>
      <c r="J1" s="219"/>
      <c r="K1" s="219"/>
      <c r="L1" s="219"/>
      <c r="M1" s="219"/>
      <c r="N1" s="219"/>
      <c r="O1" s="219"/>
      <c r="P1" s="220"/>
      <c r="Q1" s="218" t="s">
        <v>87</v>
      </c>
      <c r="R1" s="219"/>
      <c r="S1" s="219"/>
      <c r="T1" s="219"/>
      <c r="U1" s="219"/>
      <c r="V1" s="219"/>
      <c r="W1" s="219"/>
      <c r="X1" s="220"/>
      <c r="Y1" s="221" t="s">
        <v>88</v>
      </c>
      <c r="Z1" s="221"/>
      <c r="AA1" s="221"/>
    </row>
    <row r="2" spans="1:27" ht="54.95" customHeight="1">
      <c r="A2" s="218" t="s">
        <v>89</v>
      </c>
      <c r="B2" s="220"/>
      <c r="C2" s="218" t="s">
        <v>90</v>
      </c>
      <c r="D2" s="219"/>
      <c r="E2" s="219"/>
      <c r="F2" s="219"/>
      <c r="G2" s="219"/>
      <c r="H2" s="220"/>
      <c r="I2" s="218" t="s">
        <v>89</v>
      </c>
      <c r="J2" s="220"/>
      <c r="K2" s="222" t="s">
        <v>91</v>
      </c>
      <c r="L2" s="223"/>
      <c r="M2" s="223"/>
      <c r="N2" s="223"/>
      <c r="O2" s="223"/>
      <c r="P2" s="224"/>
      <c r="Q2" s="225" t="s">
        <v>89</v>
      </c>
      <c r="R2" s="225"/>
      <c r="S2" s="226" t="s">
        <v>91</v>
      </c>
      <c r="T2" s="226"/>
      <c r="U2" s="226"/>
      <c r="V2" s="226"/>
      <c r="W2" s="226"/>
      <c r="X2" s="226"/>
      <c r="Y2" s="143" t="s">
        <v>47</v>
      </c>
      <c r="Z2" s="143" t="s">
        <v>92</v>
      </c>
      <c r="AA2" s="143" t="s">
        <v>93</v>
      </c>
    </row>
    <row r="3" spans="1:27" s="116" customFormat="1" ht="54" customHeight="1">
      <c r="A3" s="117" t="s">
        <v>94</v>
      </c>
      <c r="B3" s="118" t="s">
        <v>5</v>
      </c>
      <c r="C3" s="118" t="s">
        <v>95</v>
      </c>
      <c r="D3" s="118" t="s">
        <v>96</v>
      </c>
      <c r="E3" s="118" t="s">
        <v>97</v>
      </c>
      <c r="F3" s="118" t="s">
        <v>98</v>
      </c>
      <c r="G3" s="118" t="s">
        <v>99</v>
      </c>
      <c r="H3" s="118" t="s">
        <v>100</v>
      </c>
      <c r="I3" s="118" t="s">
        <v>94</v>
      </c>
      <c r="J3" s="118" t="s">
        <v>5</v>
      </c>
      <c r="K3" s="118" t="s">
        <v>101</v>
      </c>
      <c r="L3" s="118" t="s">
        <v>102</v>
      </c>
      <c r="M3" s="118" t="s">
        <v>103</v>
      </c>
      <c r="N3" s="118" t="s">
        <v>104</v>
      </c>
      <c r="O3" s="118" t="s">
        <v>105</v>
      </c>
      <c r="P3" s="118" t="s">
        <v>106</v>
      </c>
      <c r="Q3" s="118" t="s">
        <v>94</v>
      </c>
      <c r="R3" s="118" t="s">
        <v>5</v>
      </c>
      <c r="S3" s="118" t="s">
        <v>101</v>
      </c>
      <c r="T3" s="118" t="s">
        <v>102</v>
      </c>
      <c r="U3" s="118" t="s">
        <v>103</v>
      </c>
      <c r="V3" s="118" t="s">
        <v>104</v>
      </c>
      <c r="W3" s="118" t="s">
        <v>105</v>
      </c>
      <c r="X3" s="118" t="s">
        <v>106</v>
      </c>
      <c r="Y3" s="209" t="s">
        <v>47</v>
      </c>
      <c r="Z3" s="210"/>
      <c r="AA3" s="211"/>
    </row>
    <row r="4" spans="1:27" ht="20.100000000000001" customHeight="1">
      <c r="A4" s="119"/>
      <c r="B4" s="119"/>
      <c r="C4" s="120">
        <v>0</v>
      </c>
      <c r="D4" s="121">
        <v>0.1101</v>
      </c>
      <c r="E4" s="121">
        <v>0.13009999999999999</v>
      </c>
      <c r="F4" s="121">
        <v>0.15010000000000001</v>
      </c>
      <c r="G4" s="121">
        <v>0.18010000000000001</v>
      </c>
      <c r="H4" s="121">
        <v>0.2001</v>
      </c>
      <c r="I4" s="135"/>
      <c r="J4" s="136"/>
      <c r="K4" s="137">
        <v>0</v>
      </c>
      <c r="L4" s="123">
        <v>7.0099999999999996E-2</v>
      </c>
      <c r="M4" s="123">
        <v>9.01E-2</v>
      </c>
      <c r="N4" s="123">
        <v>0.1101</v>
      </c>
      <c r="O4" s="123">
        <v>0.13009999999999999</v>
      </c>
      <c r="P4" s="123">
        <v>0.15010000000000001</v>
      </c>
      <c r="Q4" s="135"/>
      <c r="R4" s="136"/>
      <c r="S4" s="139">
        <v>0</v>
      </c>
      <c r="T4" s="140">
        <v>7.0099999999999996E-2</v>
      </c>
      <c r="U4" s="140">
        <v>9.01E-2</v>
      </c>
      <c r="V4" s="140">
        <v>0.1101</v>
      </c>
      <c r="W4" s="140">
        <v>0.13009999999999999</v>
      </c>
      <c r="X4" s="140">
        <v>0.15010000000000001</v>
      </c>
      <c r="Y4" s="144" t="s">
        <v>81</v>
      </c>
      <c r="Z4" s="145">
        <v>0.2</v>
      </c>
      <c r="AA4" s="145">
        <v>0.24</v>
      </c>
    </row>
    <row r="5" spans="1:27">
      <c r="A5" s="122">
        <v>0</v>
      </c>
      <c r="B5" s="122">
        <v>0.7</v>
      </c>
      <c r="C5" s="180">
        <v>0.04</v>
      </c>
      <c r="D5" s="123">
        <v>7.0000000000000007E-2</v>
      </c>
      <c r="E5" s="123">
        <v>0.09</v>
      </c>
      <c r="F5" s="123">
        <v>0.11</v>
      </c>
      <c r="G5" s="123">
        <v>0.14000000000000001</v>
      </c>
      <c r="H5" s="123">
        <v>0.17</v>
      </c>
      <c r="I5" s="122">
        <v>0</v>
      </c>
      <c r="J5" s="122">
        <v>0.45</v>
      </c>
      <c r="K5" s="138">
        <v>0.06</v>
      </c>
      <c r="L5" s="138">
        <v>0.08</v>
      </c>
      <c r="M5" s="138">
        <v>0.11</v>
      </c>
      <c r="N5" s="138">
        <v>0.13</v>
      </c>
      <c r="O5" s="138">
        <v>0.15</v>
      </c>
      <c r="P5" s="138">
        <v>0.17</v>
      </c>
      <c r="Q5" s="122">
        <v>0</v>
      </c>
      <c r="R5" s="122">
        <v>0.35</v>
      </c>
      <c r="S5" s="123">
        <v>0.09</v>
      </c>
      <c r="T5" s="141">
        <v>0.1</v>
      </c>
      <c r="U5" s="141">
        <v>0.11</v>
      </c>
      <c r="V5" s="141">
        <v>0.12</v>
      </c>
      <c r="W5" s="141">
        <v>0.14000000000000001</v>
      </c>
      <c r="X5" s="141">
        <v>0.16</v>
      </c>
      <c r="Y5" s="144" t="s">
        <v>56</v>
      </c>
      <c r="Z5" s="145">
        <v>0.23</v>
      </c>
      <c r="AA5" s="145">
        <v>0.28000000000000003</v>
      </c>
    </row>
    <row r="6" spans="1:27">
      <c r="A6" s="122">
        <v>0.7</v>
      </c>
      <c r="B6" s="122">
        <v>0.75</v>
      </c>
      <c r="C6" s="123">
        <v>0.08</v>
      </c>
      <c r="D6" s="123">
        <v>0.1</v>
      </c>
      <c r="E6" s="123">
        <v>0.12</v>
      </c>
      <c r="F6" s="123">
        <v>0.14000000000000001</v>
      </c>
      <c r="G6" s="123">
        <v>0.17</v>
      </c>
      <c r="H6" s="123">
        <v>0.2</v>
      </c>
      <c r="I6" s="122">
        <v>0.45</v>
      </c>
      <c r="J6" s="122">
        <v>0.5</v>
      </c>
      <c r="K6" s="138">
        <v>0.08</v>
      </c>
      <c r="L6" s="138">
        <v>0.1</v>
      </c>
      <c r="M6" s="138">
        <v>0.13</v>
      </c>
      <c r="N6" s="138">
        <v>0.15</v>
      </c>
      <c r="O6" s="138">
        <v>0.17</v>
      </c>
      <c r="P6" s="138">
        <v>0.19</v>
      </c>
      <c r="Q6" s="122">
        <v>0.35</v>
      </c>
      <c r="R6" s="122">
        <v>0.4</v>
      </c>
      <c r="S6" s="123">
        <v>0.12</v>
      </c>
      <c r="T6" s="141">
        <v>0.13</v>
      </c>
      <c r="U6" s="141">
        <v>0.16</v>
      </c>
      <c r="V6" s="141">
        <v>0.18</v>
      </c>
      <c r="W6" s="141">
        <v>0.21</v>
      </c>
      <c r="X6" s="141">
        <v>0.23</v>
      </c>
      <c r="Y6" s="144" t="s">
        <v>60</v>
      </c>
      <c r="Z6" s="145">
        <v>0.26</v>
      </c>
      <c r="AA6" s="145">
        <v>0.32</v>
      </c>
    </row>
    <row r="7" spans="1:27">
      <c r="A7" s="122">
        <v>0.75</v>
      </c>
      <c r="B7" s="122">
        <v>0.78</v>
      </c>
      <c r="C7" s="123">
        <v>0.09</v>
      </c>
      <c r="D7" s="123">
        <v>0.11</v>
      </c>
      <c r="E7" s="123">
        <v>0.13</v>
      </c>
      <c r="F7" s="123">
        <v>0.15</v>
      </c>
      <c r="G7" s="123">
        <v>0.18</v>
      </c>
      <c r="H7" s="123">
        <v>0.21</v>
      </c>
      <c r="I7" s="122">
        <v>0.5</v>
      </c>
      <c r="J7" s="122">
        <v>0.55000000000000004</v>
      </c>
      <c r="K7" s="138">
        <v>0.1</v>
      </c>
      <c r="L7" s="138">
        <v>0.12</v>
      </c>
      <c r="M7" s="138">
        <v>0.15</v>
      </c>
      <c r="N7" s="138">
        <v>0.17</v>
      </c>
      <c r="O7" s="138">
        <v>0.19</v>
      </c>
      <c r="P7" s="138">
        <v>0.21</v>
      </c>
      <c r="Q7" s="122">
        <v>0.4</v>
      </c>
      <c r="R7" s="122">
        <v>0.45</v>
      </c>
      <c r="S7" s="123">
        <v>0.14000000000000001</v>
      </c>
      <c r="T7" s="141">
        <v>0.16</v>
      </c>
      <c r="U7" s="141">
        <v>0.19</v>
      </c>
      <c r="V7" s="141">
        <v>0.22</v>
      </c>
      <c r="W7" s="141">
        <v>0.25</v>
      </c>
      <c r="X7" s="141">
        <v>0.27</v>
      </c>
      <c r="Y7" s="146" t="s">
        <v>63</v>
      </c>
      <c r="Z7" s="147">
        <v>0.28999999999999998</v>
      </c>
      <c r="AA7" s="147">
        <v>0.35</v>
      </c>
    </row>
    <row r="8" spans="1:27" ht="36" customHeight="1">
      <c r="A8" s="122">
        <v>0.78</v>
      </c>
      <c r="B8" s="122">
        <v>0.83</v>
      </c>
      <c r="C8" s="123">
        <v>0.11</v>
      </c>
      <c r="D8" s="123">
        <v>0.14000000000000001</v>
      </c>
      <c r="E8" s="123">
        <v>0.16</v>
      </c>
      <c r="F8" s="123">
        <v>0.18</v>
      </c>
      <c r="G8" s="123">
        <v>0.22</v>
      </c>
      <c r="H8" s="123">
        <v>0.26</v>
      </c>
      <c r="I8" s="122">
        <v>0.55000000000000004</v>
      </c>
      <c r="J8" s="122">
        <v>0.6</v>
      </c>
      <c r="K8" s="138">
        <v>0.11</v>
      </c>
      <c r="L8" s="138">
        <v>0.14000000000000001</v>
      </c>
      <c r="M8" s="138">
        <v>0.16</v>
      </c>
      <c r="N8" s="138">
        <v>0.185</v>
      </c>
      <c r="O8" s="138">
        <v>0.22</v>
      </c>
      <c r="P8" s="138">
        <v>0.25</v>
      </c>
      <c r="Q8" s="122">
        <v>0.45</v>
      </c>
      <c r="R8" s="122">
        <v>0.5</v>
      </c>
      <c r="S8" s="123">
        <v>0.18</v>
      </c>
      <c r="T8" s="141">
        <v>0.19</v>
      </c>
      <c r="U8" s="141">
        <v>0.23</v>
      </c>
      <c r="V8" s="141">
        <v>0.25</v>
      </c>
      <c r="W8" s="141">
        <v>0.28999999999999998</v>
      </c>
      <c r="X8" s="141">
        <v>0.31</v>
      </c>
      <c r="Y8" s="144" t="s">
        <v>66</v>
      </c>
      <c r="Z8" s="145">
        <v>0.31</v>
      </c>
      <c r="AA8" s="145">
        <v>0.37</v>
      </c>
    </row>
    <row r="9" spans="1:27">
      <c r="A9" s="122">
        <v>0.83</v>
      </c>
      <c r="B9" s="122">
        <v>0.85</v>
      </c>
      <c r="C9" s="123">
        <v>0.125</v>
      </c>
      <c r="D9" s="123">
        <v>0.155</v>
      </c>
      <c r="E9" s="123">
        <v>0.17499999999999999</v>
      </c>
      <c r="F9" s="123">
        <v>0.19500000000000001</v>
      </c>
      <c r="G9" s="123">
        <v>0.23499999999999999</v>
      </c>
      <c r="H9" s="123">
        <v>0.27500000000000002</v>
      </c>
      <c r="I9" s="122">
        <v>0.6</v>
      </c>
      <c r="J9" s="122">
        <v>0.65</v>
      </c>
      <c r="K9" s="138">
        <v>0.12</v>
      </c>
      <c r="L9" s="138">
        <v>0.155</v>
      </c>
      <c r="M9" s="138">
        <v>0.17499999999999999</v>
      </c>
      <c r="N9" s="138">
        <v>0.2</v>
      </c>
      <c r="O9" s="138">
        <v>0.25</v>
      </c>
      <c r="P9" s="138">
        <v>0.28999999999999998</v>
      </c>
      <c r="Q9" s="122">
        <v>0.5</v>
      </c>
      <c r="R9" s="122">
        <v>0.55000000000000004</v>
      </c>
      <c r="S9" s="123">
        <v>0.22</v>
      </c>
      <c r="T9" s="141">
        <v>0.23</v>
      </c>
      <c r="U9" s="141">
        <v>0.26</v>
      </c>
      <c r="V9" s="141">
        <v>0.28000000000000003</v>
      </c>
      <c r="W9" s="141">
        <v>0.32</v>
      </c>
      <c r="X9" s="141">
        <v>0.35</v>
      </c>
      <c r="Y9" s="144" t="s">
        <v>69</v>
      </c>
      <c r="Z9" s="145">
        <v>0.33</v>
      </c>
      <c r="AA9" s="145">
        <v>0.4</v>
      </c>
    </row>
    <row r="10" spans="1:27">
      <c r="A10" s="122">
        <v>0.85</v>
      </c>
      <c r="B10" s="122">
        <v>0.88</v>
      </c>
      <c r="C10" s="123">
        <v>0.14499999999999999</v>
      </c>
      <c r="D10" s="123">
        <v>0.17499999999999999</v>
      </c>
      <c r="E10" s="123">
        <v>0.19500000000000001</v>
      </c>
      <c r="F10" s="123">
        <v>0.215</v>
      </c>
      <c r="G10" s="123">
        <v>0.255</v>
      </c>
      <c r="H10" s="123">
        <v>0.29499999999999998</v>
      </c>
      <c r="I10" s="122">
        <v>0.65</v>
      </c>
      <c r="J10" s="122">
        <v>0.7</v>
      </c>
      <c r="K10" s="138">
        <v>0.15</v>
      </c>
      <c r="L10" s="138">
        <v>0.185</v>
      </c>
      <c r="M10" s="138">
        <v>0.20499999999999999</v>
      </c>
      <c r="N10" s="138">
        <v>0.23</v>
      </c>
      <c r="O10" s="138">
        <v>0.27</v>
      </c>
      <c r="P10" s="138">
        <v>0.32</v>
      </c>
      <c r="Q10" s="122">
        <v>0.55000000000000004</v>
      </c>
      <c r="R10" s="122">
        <v>0.6</v>
      </c>
      <c r="S10" s="140">
        <v>0.255</v>
      </c>
      <c r="T10" s="142">
        <v>0.27500000000000002</v>
      </c>
      <c r="U10" s="142">
        <v>0.30499999999999999</v>
      </c>
      <c r="V10" s="142">
        <v>0.33500000000000002</v>
      </c>
      <c r="W10" s="142">
        <v>0.36499999999999999</v>
      </c>
      <c r="X10" s="142">
        <v>0.39500000000000002</v>
      </c>
      <c r="Y10" s="144" t="s">
        <v>72</v>
      </c>
      <c r="Z10" s="145">
        <v>0.36</v>
      </c>
      <c r="AA10" s="145">
        <v>0.43</v>
      </c>
    </row>
    <row r="11" spans="1:27" ht="47.1" customHeight="1">
      <c r="A11" s="122">
        <v>0.89</v>
      </c>
      <c r="B11" s="122">
        <v>0.92</v>
      </c>
      <c r="C11" s="124">
        <v>0.185</v>
      </c>
      <c r="D11" s="124">
        <v>0.215</v>
      </c>
      <c r="E11" s="124">
        <v>0.23499999999999999</v>
      </c>
      <c r="F11" s="124">
        <v>0.255</v>
      </c>
      <c r="G11" s="124">
        <v>0.29499999999999998</v>
      </c>
      <c r="H11" s="124">
        <v>0.33500000000000002</v>
      </c>
      <c r="I11" s="122">
        <v>0.7</v>
      </c>
      <c r="J11" s="122">
        <v>0.75</v>
      </c>
      <c r="K11" s="124">
        <v>0.18</v>
      </c>
      <c r="L11" s="124">
        <v>0.22500000000000001</v>
      </c>
      <c r="M11" s="124">
        <v>0.245</v>
      </c>
      <c r="N11" s="124">
        <v>0.27</v>
      </c>
      <c r="O11" s="124">
        <v>0.3</v>
      </c>
      <c r="P11" s="124">
        <v>0.36</v>
      </c>
      <c r="Q11" s="122">
        <v>0.6</v>
      </c>
      <c r="R11" s="122">
        <v>0.65</v>
      </c>
      <c r="S11" s="124">
        <v>0.26500000000000001</v>
      </c>
      <c r="T11" s="124">
        <v>0.28499999999999998</v>
      </c>
      <c r="U11" s="124">
        <v>0.315</v>
      </c>
      <c r="V11" s="124">
        <v>0.34499999999999997</v>
      </c>
      <c r="W11" s="124">
        <v>0.375</v>
      </c>
      <c r="X11" s="124">
        <v>0.40500000000000003</v>
      </c>
      <c r="Y11" s="144" t="s">
        <v>73</v>
      </c>
      <c r="Z11" s="145">
        <v>0.4</v>
      </c>
      <c r="AA11" s="145">
        <v>0.48</v>
      </c>
    </row>
    <row r="12" spans="1:27" ht="45.95" customHeight="1">
      <c r="A12" s="125" t="s">
        <v>107</v>
      </c>
      <c r="B12" s="125"/>
      <c r="C12" s="123">
        <v>0.20499999999999999</v>
      </c>
      <c r="D12" s="123">
        <v>0.23499999999999999</v>
      </c>
      <c r="E12" s="123">
        <v>0.255</v>
      </c>
      <c r="F12" s="123">
        <v>0.27500000000000002</v>
      </c>
      <c r="G12" s="123">
        <v>0.315</v>
      </c>
      <c r="H12" s="123">
        <v>0.35499999999999998</v>
      </c>
      <c r="I12" s="122">
        <v>0.75</v>
      </c>
      <c r="J12" s="122">
        <v>1</v>
      </c>
      <c r="K12" s="138">
        <v>0.21</v>
      </c>
      <c r="L12" s="138">
        <v>0.255</v>
      </c>
      <c r="M12" s="138">
        <v>0.27500000000000002</v>
      </c>
      <c r="N12" s="138">
        <v>0.3</v>
      </c>
      <c r="O12" s="138">
        <v>0.34</v>
      </c>
      <c r="P12" s="138">
        <v>0.39</v>
      </c>
      <c r="Q12" s="122">
        <v>0.65</v>
      </c>
      <c r="R12" s="122">
        <v>1</v>
      </c>
      <c r="S12" s="123">
        <v>0.27500000000000002</v>
      </c>
      <c r="T12" s="123">
        <v>0.29499999999999998</v>
      </c>
      <c r="U12" s="123">
        <v>0.32500000000000001</v>
      </c>
      <c r="V12" s="123">
        <v>0.35499999999999998</v>
      </c>
      <c r="W12" s="123">
        <v>0.38500000000000001</v>
      </c>
      <c r="X12" s="123">
        <v>0.41499999999999998</v>
      </c>
      <c r="Y12" s="146" t="s">
        <v>74</v>
      </c>
      <c r="Z12" s="147">
        <v>0.45</v>
      </c>
      <c r="AA12" s="147">
        <v>0.5</v>
      </c>
    </row>
    <row r="13" spans="1:27" ht="54.95" customHeight="1" thickBot="1">
      <c r="A13" s="126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46" t="s">
        <v>83</v>
      </c>
      <c r="Z13" s="147">
        <v>0.27</v>
      </c>
      <c r="AA13" s="147">
        <v>0.3</v>
      </c>
    </row>
    <row r="14" spans="1:27" ht="32.1" customHeight="1" thickBot="1">
      <c r="A14" s="212" t="s">
        <v>108</v>
      </c>
      <c r="B14" s="212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59" t="s">
        <v>84</v>
      </c>
      <c r="Z14" s="148">
        <v>0.43</v>
      </c>
      <c r="AA14" s="148">
        <v>0.43</v>
      </c>
    </row>
    <row r="15" spans="1:27" ht="15" customHeight="1" thickBot="1">
      <c r="A15" s="129" t="s">
        <v>109</v>
      </c>
      <c r="B15" s="130" t="s">
        <v>49</v>
      </c>
    </row>
    <row r="16" spans="1:27" ht="18.399999999999999" customHeight="1" thickBot="1">
      <c r="A16" s="213" t="s">
        <v>110</v>
      </c>
      <c r="B16" s="214" t="s">
        <v>111</v>
      </c>
    </row>
    <row r="17" spans="1:2" ht="15.75" thickBot="1">
      <c r="A17" s="213"/>
      <c r="B17" s="214"/>
    </row>
    <row r="18" spans="1:2" ht="42.6" customHeight="1" thickBot="1">
      <c r="A18" s="132" t="s">
        <v>112</v>
      </c>
      <c r="B18" s="133">
        <v>0.13</v>
      </c>
    </row>
    <row r="19" spans="1:2" ht="45.6" customHeight="1" thickBot="1">
      <c r="A19" s="132" t="s">
        <v>113</v>
      </c>
      <c r="B19" s="134">
        <v>0.1</v>
      </c>
    </row>
    <row r="20" spans="1:2" ht="15.75" thickBot="1">
      <c r="A20" s="132" t="s">
        <v>114</v>
      </c>
      <c r="B20" s="134">
        <v>0.08</v>
      </c>
    </row>
    <row r="21" spans="1:2" ht="27.75" customHeight="1" thickBot="1">
      <c r="A21" s="132" t="s">
        <v>115</v>
      </c>
      <c r="B21" s="134">
        <v>0.05</v>
      </c>
    </row>
    <row r="23" spans="1:2" ht="18.399999999999999" customHeight="1"/>
    <row r="25" spans="1:2" ht="18.399999999999999" customHeight="1"/>
    <row r="27" spans="1:2" ht="18.399999999999999" customHeight="1"/>
    <row r="29" spans="1:2" hidden="1"/>
    <row r="30" spans="1:2" ht="18.399999999999999" customHeight="1"/>
    <row r="32" spans="1:2" ht="18.399999999999999" customHeight="1"/>
    <row r="34" spans="1:4" ht="18.399999999999999" customHeight="1"/>
    <row r="36" spans="1:4" ht="18.399999999999999" customHeight="1"/>
    <row r="38" spans="1:4" ht="18.399999999999999" customHeight="1"/>
    <row r="40" spans="1:4" ht="18.399999999999999" customHeight="1"/>
    <row r="42" spans="1:4" ht="18.399999999999999" customHeight="1"/>
    <row r="44" spans="1:4" ht="18.399999999999999" customHeight="1"/>
    <row r="45" spans="1:4" ht="8.25" customHeight="1">
      <c r="A45" s="127"/>
    </row>
    <row r="46" spans="1:4" ht="27.75" customHeight="1">
      <c r="C46" s="128"/>
      <c r="D46" s="116"/>
    </row>
    <row r="47" spans="1:4">
      <c r="C47" s="128"/>
      <c r="D47" s="116"/>
    </row>
    <row r="48" spans="1:4">
      <c r="C48" s="128"/>
      <c r="D48" s="116"/>
    </row>
    <row r="49" spans="3:4" ht="28.7" customHeight="1">
      <c r="C49" s="131"/>
      <c r="D49" s="116"/>
    </row>
    <row r="50" spans="3:4">
      <c r="C50" s="116"/>
      <c r="D50" s="116"/>
    </row>
    <row r="51" spans="3:4" ht="18.399999999999999" customHeight="1">
      <c r="C51" s="116"/>
      <c r="D51" s="116"/>
    </row>
    <row r="52" spans="3:4">
      <c r="C52" s="116"/>
      <c r="D52" s="116"/>
    </row>
    <row r="53" spans="3:4">
      <c r="C53" s="116"/>
    </row>
  </sheetData>
  <mergeCells count="14">
    <mergeCell ref="Y3:AA3"/>
    <mergeCell ref="A14:B14"/>
    <mergeCell ref="A16:A17"/>
    <mergeCell ref="B16:B17"/>
    <mergeCell ref="A1:H1"/>
    <mergeCell ref="I1:P1"/>
    <mergeCell ref="Q1:X1"/>
    <mergeCell ref="Y1:AA1"/>
    <mergeCell ref="A2:B2"/>
    <mergeCell ref="C2:H2"/>
    <mergeCell ref="I2:J2"/>
    <mergeCell ref="K2:P2"/>
    <mergeCell ref="Q2:R2"/>
    <mergeCell ref="S2:X2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4" workbookViewId="0">
      <selection activeCell="K22" sqref="K22"/>
    </sheetView>
  </sheetViews>
  <sheetFormatPr defaultColWidth="9" defaultRowHeight="15"/>
  <sheetData>
    <row r="1" spans="1:14">
      <c r="A1" s="227" t="s">
        <v>116</v>
      </c>
      <c r="B1" s="228" t="s">
        <v>117</v>
      </c>
      <c r="C1" s="228"/>
      <c r="D1" s="228" t="s">
        <v>117</v>
      </c>
      <c r="E1" s="228"/>
      <c r="F1" s="228"/>
      <c r="G1" s="228"/>
      <c r="H1" s="228"/>
      <c r="I1" s="228"/>
      <c r="J1" s="228"/>
      <c r="K1" s="228"/>
      <c r="L1" s="228"/>
      <c r="M1" s="107"/>
      <c r="N1" s="107"/>
    </row>
    <row r="2" spans="1:14">
      <c r="A2" s="229"/>
      <c r="B2" s="229" t="s">
        <v>117</v>
      </c>
      <c r="C2" s="230" t="s">
        <v>118</v>
      </c>
      <c r="D2" s="231" t="s">
        <v>117</v>
      </c>
      <c r="E2" s="231"/>
      <c r="F2" s="231"/>
      <c r="G2" s="231"/>
      <c r="H2" s="231"/>
      <c r="I2" s="231"/>
      <c r="J2" s="229"/>
      <c r="K2" s="229"/>
      <c r="L2" s="229"/>
      <c r="M2" s="107"/>
      <c r="N2" s="107"/>
    </row>
    <row r="3" spans="1:14">
      <c r="A3" s="230" t="s">
        <v>119</v>
      </c>
      <c r="B3" s="231" t="s">
        <v>117</v>
      </c>
      <c r="C3" s="232" t="s">
        <v>120</v>
      </c>
      <c r="D3" s="233" t="s">
        <v>117</v>
      </c>
      <c r="E3" s="233"/>
      <c r="F3" s="234" t="s">
        <v>121</v>
      </c>
      <c r="G3" s="235"/>
      <c r="H3" s="236" t="s">
        <v>122</v>
      </c>
      <c r="I3" s="237"/>
      <c r="J3" s="113" t="s">
        <v>123</v>
      </c>
      <c r="K3" s="113" t="s">
        <v>124</v>
      </c>
      <c r="L3" s="113" t="s">
        <v>125</v>
      </c>
      <c r="M3" s="107"/>
      <c r="N3" s="107"/>
    </row>
    <row r="4" spans="1:14">
      <c r="A4" s="227" t="s">
        <v>126</v>
      </c>
      <c r="B4" s="228" t="s">
        <v>117</v>
      </c>
      <c r="C4" s="238" t="s">
        <v>127</v>
      </c>
      <c r="D4" s="239" t="s">
        <v>117</v>
      </c>
      <c r="E4" s="239"/>
      <c r="F4" s="240"/>
      <c r="G4" s="240"/>
      <c r="H4" s="240"/>
      <c r="I4" s="240"/>
      <c r="J4" s="114">
        <v>2.75E-2</v>
      </c>
      <c r="K4" s="110"/>
      <c r="L4" s="110"/>
      <c r="M4" s="107"/>
      <c r="N4" s="107"/>
    </row>
    <row r="5" spans="1:14">
      <c r="A5" s="228"/>
      <c r="B5" s="228" t="s">
        <v>117</v>
      </c>
      <c r="C5" s="238" t="s">
        <v>128</v>
      </c>
      <c r="D5" s="239" t="s">
        <v>117</v>
      </c>
      <c r="E5" s="239"/>
      <c r="F5" s="240"/>
      <c r="G5" s="240"/>
      <c r="H5" s="240"/>
      <c r="I5" s="240"/>
      <c r="J5" s="114">
        <v>0.04</v>
      </c>
      <c r="K5" s="110"/>
      <c r="L5" s="110"/>
      <c r="M5" s="107"/>
      <c r="N5" s="107"/>
    </row>
    <row r="6" spans="1:14">
      <c r="A6" s="228"/>
      <c r="B6" s="228" t="s">
        <v>117</v>
      </c>
      <c r="C6" s="238" t="s">
        <v>129</v>
      </c>
      <c r="D6" s="239" t="s">
        <v>117</v>
      </c>
      <c r="E6" s="239"/>
      <c r="F6" s="240"/>
      <c r="G6" s="240"/>
      <c r="H6" s="240"/>
      <c r="I6" s="240"/>
      <c r="J6" s="114">
        <v>4.7500000000000001E-2</v>
      </c>
      <c r="K6" s="110"/>
      <c r="L6" s="110"/>
      <c r="M6" s="107"/>
      <c r="N6" s="107"/>
    </row>
    <row r="7" spans="1:14">
      <c r="A7" s="228"/>
      <c r="B7" s="228" t="s">
        <v>117</v>
      </c>
      <c r="C7" s="241" t="s">
        <v>130</v>
      </c>
      <c r="D7" s="242" t="s">
        <v>117</v>
      </c>
      <c r="E7" s="242"/>
      <c r="F7" s="243"/>
      <c r="G7" s="243"/>
      <c r="H7" s="243"/>
      <c r="I7" s="243"/>
      <c r="J7" s="115">
        <v>5.5E-2</v>
      </c>
      <c r="K7" s="111"/>
      <c r="L7" s="111"/>
      <c r="M7" s="107"/>
      <c r="N7" s="107"/>
    </row>
    <row r="8" spans="1:14">
      <c r="A8" s="227" t="s">
        <v>131</v>
      </c>
      <c r="B8" s="228" t="s">
        <v>117</v>
      </c>
      <c r="C8" s="238" t="s">
        <v>132</v>
      </c>
      <c r="D8" s="239" t="s">
        <v>117</v>
      </c>
      <c r="E8" s="239"/>
      <c r="F8" s="240"/>
      <c r="G8" s="240"/>
      <c r="H8" s="238" t="s">
        <v>133</v>
      </c>
      <c r="I8" s="239"/>
      <c r="J8" s="114">
        <v>3.6499999999999998E-2</v>
      </c>
      <c r="K8" s="110"/>
      <c r="L8" s="114">
        <v>6.0000000000000001E-3</v>
      </c>
      <c r="M8" s="107"/>
      <c r="N8" s="107"/>
    </row>
    <row r="9" spans="1:14">
      <c r="A9" s="228"/>
      <c r="B9" s="228" t="s">
        <v>117</v>
      </c>
      <c r="C9" s="238" t="s">
        <v>134</v>
      </c>
      <c r="D9" s="239" t="s">
        <v>117</v>
      </c>
      <c r="E9" s="239"/>
      <c r="F9" s="240"/>
      <c r="G9" s="240"/>
      <c r="H9" s="238" t="s">
        <v>135</v>
      </c>
      <c r="I9" s="239"/>
      <c r="J9" s="114">
        <v>4.8000000000000001E-2</v>
      </c>
      <c r="K9" s="110"/>
      <c r="L9" s="114">
        <v>1.4999999999999999E-2</v>
      </c>
      <c r="M9" s="107"/>
      <c r="N9" s="107"/>
    </row>
    <row r="10" spans="1:14">
      <c r="A10" s="228"/>
      <c r="B10" s="228" t="s">
        <v>117</v>
      </c>
      <c r="C10" s="238" t="s">
        <v>136</v>
      </c>
      <c r="D10" s="239" t="s">
        <v>117</v>
      </c>
      <c r="E10" s="239"/>
      <c r="F10" s="240"/>
      <c r="G10" s="240"/>
      <c r="H10" s="238" t="s">
        <v>137</v>
      </c>
      <c r="I10" s="239"/>
      <c r="J10" s="114">
        <v>5.3999999999999999E-2</v>
      </c>
      <c r="K10" s="110"/>
      <c r="L10" s="114">
        <v>0.02</v>
      </c>
      <c r="M10" s="107"/>
      <c r="N10" s="107"/>
    </row>
    <row r="11" spans="1:14">
      <c r="A11" s="228"/>
      <c r="B11" s="228" t="s">
        <v>117</v>
      </c>
      <c r="C11" s="238" t="s">
        <v>138</v>
      </c>
      <c r="D11" s="239" t="s">
        <v>117</v>
      </c>
      <c r="E11" s="239"/>
      <c r="F11" s="240"/>
      <c r="G11" s="240"/>
      <c r="H11" s="240"/>
      <c r="I11" s="240"/>
      <c r="J11" s="114">
        <v>6.2E-2</v>
      </c>
      <c r="K11" s="110"/>
      <c r="L11" s="110"/>
      <c r="M11" s="107"/>
      <c r="N11" s="107"/>
    </row>
    <row r="12" spans="1:14">
      <c r="A12" s="228"/>
      <c r="B12" s="228" t="s">
        <v>117</v>
      </c>
      <c r="C12" s="241" t="s">
        <v>139</v>
      </c>
      <c r="D12" s="242" t="s">
        <v>117</v>
      </c>
      <c r="E12" s="242"/>
      <c r="F12" s="243"/>
      <c r="G12" s="243"/>
      <c r="H12" s="243"/>
      <c r="I12" s="243"/>
      <c r="J12" s="115">
        <v>7.0000000000000007E-2</v>
      </c>
      <c r="K12" s="111"/>
      <c r="L12" s="111"/>
      <c r="M12" s="107"/>
      <c r="N12" s="107"/>
    </row>
    <row r="13" spans="1:14">
      <c r="A13" s="227" t="s">
        <v>140</v>
      </c>
      <c r="B13" s="228" t="s">
        <v>117</v>
      </c>
      <c r="C13" s="238" t="s">
        <v>141</v>
      </c>
      <c r="D13" s="239" t="s">
        <v>117</v>
      </c>
      <c r="E13" s="239"/>
      <c r="F13" s="238" t="s">
        <v>142</v>
      </c>
      <c r="G13" s="239"/>
      <c r="H13" s="238" t="s">
        <v>143</v>
      </c>
      <c r="I13" s="239"/>
      <c r="J13" s="114">
        <v>3.5000000000000003E-2</v>
      </c>
      <c r="K13" s="114">
        <v>6.0000000000000001E-3</v>
      </c>
      <c r="L13" s="114">
        <v>1.2E-2</v>
      </c>
      <c r="M13" s="107"/>
      <c r="N13" s="107"/>
    </row>
    <row r="14" spans="1:14">
      <c r="A14" s="228"/>
      <c r="B14" s="228" t="s">
        <v>117</v>
      </c>
      <c r="C14" s="238" t="s">
        <v>144</v>
      </c>
      <c r="D14" s="239" t="s">
        <v>117</v>
      </c>
      <c r="E14" s="239"/>
      <c r="F14" s="238" t="s">
        <v>145</v>
      </c>
      <c r="G14" s="239"/>
      <c r="H14" s="238" t="s">
        <v>146</v>
      </c>
      <c r="I14" s="239"/>
      <c r="J14" s="114">
        <v>0.05</v>
      </c>
      <c r="K14" s="114">
        <v>1.2E-2</v>
      </c>
      <c r="L14" s="114">
        <v>1.7500000000000002E-2</v>
      </c>
      <c r="M14" s="107"/>
      <c r="N14" s="107"/>
    </row>
    <row r="15" spans="1:14">
      <c r="A15" s="228"/>
      <c r="B15" s="228" t="s">
        <v>117</v>
      </c>
      <c r="C15" s="238" t="s">
        <v>147</v>
      </c>
      <c r="D15" s="239" t="s">
        <v>117</v>
      </c>
      <c r="E15" s="239"/>
      <c r="F15" s="238" t="s">
        <v>148</v>
      </c>
      <c r="G15" s="239"/>
      <c r="H15" s="238" t="s">
        <v>149</v>
      </c>
      <c r="I15" s="239"/>
      <c r="J15" s="114">
        <v>5.3999999999999999E-2</v>
      </c>
      <c r="K15" s="114">
        <v>1.4999999999999999E-2</v>
      </c>
      <c r="L15" s="114">
        <v>0.02</v>
      </c>
      <c r="M15" s="107"/>
      <c r="N15" s="107"/>
    </row>
    <row r="16" spans="1:14">
      <c r="A16" s="228"/>
      <c r="B16" s="228" t="s">
        <v>117</v>
      </c>
      <c r="C16" s="241" t="s">
        <v>150</v>
      </c>
      <c r="D16" s="242" t="s">
        <v>117</v>
      </c>
      <c r="E16" s="242"/>
      <c r="F16" s="241" t="s">
        <v>151</v>
      </c>
      <c r="G16" s="242"/>
      <c r="H16" s="241" t="s">
        <v>152</v>
      </c>
      <c r="I16" s="242"/>
      <c r="J16" s="115">
        <v>7.0000000000000007E-2</v>
      </c>
      <c r="K16" s="115">
        <v>0.02</v>
      </c>
      <c r="L16" s="115">
        <v>2.2499999999999999E-2</v>
      </c>
      <c r="M16" s="107"/>
      <c r="N16" s="107"/>
    </row>
    <row r="17" spans="1:14">
      <c r="A17" s="227" t="s">
        <v>153</v>
      </c>
      <c r="B17" s="228" t="s">
        <v>117</v>
      </c>
      <c r="C17" s="238" t="s">
        <v>141</v>
      </c>
      <c r="D17" s="239" t="s">
        <v>117</v>
      </c>
      <c r="E17" s="239"/>
      <c r="F17" s="238" t="s">
        <v>154</v>
      </c>
      <c r="G17" s="239"/>
      <c r="H17" s="238" t="s">
        <v>155</v>
      </c>
      <c r="I17" s="239"/>
      <c r="J17" s="114">
        <v>4.7199999999999999E-2</v>
      </c>
      <c r="K17" s="114">
        <v>1.2500000000000001E-2</v>
      </c>
      <c r="L17" s="114">
        <v>1.7999999999999999E-2</v>
      </c>
      <c r="M17" s="107"/>
      <c r="N17" s="107"/>
    </row>
    <row r="18" spans="1:14">
      <c r="A18" s="228"/>
      <c r="B18" s="228" t="s">
        <v>117</v>
      </c>
      <c r="C18" s="238" t="s">
        <v>144</v>
      </c>
      <c r="D18" s="239" t="s">
        <v>117</v>
      </c>
      <c r="E18" s="239"/>
      <c r="F18" s="238" t="s">
        <v>135</v>
      </c>
      <c r="G18" s="239"/>
      <c r="H18" s="238" t="s">
        <v>156</v>
      </c>
      <c r="I18" s="239"/>
      <c r="J18" s="114">
        <v>0.06</v>
      </c>
      <c r="K18" s="114">
        <v>0.02</v>
      </c>
      <c r="L18" s="114">
        <v>2.5000000000000001E-2</v>
      </c>
      <c r="M18" s="107"/>
      <c r="N18" s="107"/>
    </row>
    <row r="19" spans="1:14">
      <c r="A19" s="228"/>
      <c r="B19" s="228" t="s">
        <v>117</v>
      </c>
      <c r="C19" s="238" t="s">
        <v>147</v>
      </c>
      <c r="D19" s="239" t="s">
        <v>117</v>
      </c>
      <c r="E19" s="239"/>
      <c r="F19" s="240"/>
      <c r="G19" s="240"/>
      <c r="H19" s="240"/>
      <c r="I19" s="240"/>
      <c r="J19" s="114">
        <v>6.5000000000000002E-2</v>
      </c>
      <c r="K19" s="110"/>
      <c r="L19" s="110"/>
      <c r="M19" s="107"/>
      <c r="N19" s="107"/>
    </row>
    <row r="20" spans="1:14">
      <c r="A20" s="228"/>
      <c r="B20" s="228" t="s">
        <v>117</v>
      </c>
      <c r="C20" s="241" t="s">
        <v>150</v>
      </c>
      <c r="D20" s="242" t="s">
        <v>117</v>
      </c>
      <c r="E20" s="242"/>
      <c r="F20" s="241" t="s">
        <v>137</v>
      </c>
      <c r="G20" s="242"/>
      <c r="H20" s="241" t="s">
        <v>157</v>
      </c>
      <c r="I20" s="242"/>
      <c r="J20" s="115">
        <v>7.1999999999999995E-2</v>
      </c>
      <c r="K20" s="115">
        <v>2.4E-2</v>
      </c>
      <c r="L20" s="115">
        <v>3.5000000000000003E-2</v>
      </c>
      <c r="M20" s="107"/>
      <c r="N20" s="107"/>
    </row>
    <row r="21" spans="1:14">
      <c r="A21" s="227" t="s">
        <v>158</v>
      </c>
      <c r="B21" s="228" t="s">
        <v>117</v>
      </c>
      <c r="C21" s="238" t="s">
        <v>159</v>
      </c>
      <c r="D21" s="239" t="s">
        <v>117</v>
      </c>
      <c r="E21" s="239"/>
      <c r="F21" s="238" t="s">
        <v>133</v>
      </c>
      <c r="G21" s="239"/>
      <c r="H21" s="238" t="s">
        <v>160</v>
      </c>
      <c r="I21" s="239"/>
      <c r="J21" s="114">
        <v>4.7199999999999999E-2</v>
      </c>
      <c r="K21" s="114">
        <v>3.0800000000000001E-2</v>
      </c>
      <c r="L21" s="114">
        <v>4.2799999999999998E-2</v>
      </c>
      <c r="M21" s="107"/>
      <c r="N21" s="107"/>
    </row>
    <row r="22" spans="1:14">
      <c r="A22" s="228"/>
      <c r="B22" s="228" t="s">
        <v>117</v>
      </c>
      <c r="C22" s="238" t="s">
        <v>161</v>
      </c>
      <c r="D22" s="239" t="s">
        <v>117</v>
      </c>
      <c r="E22" s="239"/>
      <c r="F22" s="238" t="s">
        <v>135</v>
      </c>
      <c r="G22" s="239"/>
      <c r="H22" s="238" t="s">
        <v>162</v>
      </c>
      <c r="I22" s="239"/>
      <c r="J22" s="114">
        <v>5.5500000000000001E-2</v>
      </c>
      <c r="K22" s="114">
        <v>4.4499999999999998E-2</v>
      </c>
      <c r="L22" s="114">
        <v>5.45E-2</v>
      </c>
      <c r="M22" s="107"/>
      <c r="N22" s="107"/>
    </row>
    <row r="23" spans="1:14">
      <c r="A23" s="228"/>
      <c r="B23" s="228" t="s">
        <v>117</v>
      </c>
      <c r="C23" s="241" t="s">
        <v>163</v>
      </c>
      <c r="D23" s="242" t="s">
        <v>117</v>
      </c>
      <c r="E23" s="242"/>
      <c r="F23" s="241" t="s">
        <v>137</v>
      </c>
      <c r="G23" s="242"/>
      <c r="H23" s="241" t="s">
        <v>164</v>
      </c>
      <c r="I23" s="242"/>
      <c r="J23" s="115">
        <v>6.7000000000000004E-2</v>
      </c>
      <c r="K23" s="115">
        <v>5.2999999999999999E-2</v>
      </c>
      <c r="L23" s="115">
        <v>6.3E-2</v>
      </c>
      <c r="M23" s="107"/>
      <c r="N23" s="107"/>
    </row>
    <row r="24" spans="1:14">
      <c r="A24" s="227" t="s">
        <v>165</v>
      </c>
      <c r="B24" s="228" t="s">
        <v>117</v>
      </c>
      <c r="C24" s="238" t="s">
        <v>166</v>
      </c>
      <c r="D24" s="239" t="s">
        <v>117</v>
      </c>
      <c r="E24" s="239"/>
      <c r="F24" s="238" t="s">
        <v>167</v>
      </c>
      <c r="G24" s="239"/>
      <c r="H24" s="238" t="s">
        <v>160</v>
      </c>
      <c r="I24" s="239"/>
      <c r="J24" s="114">
        <v>4.9000000000000002E-2</v>
      </c>
      <c r="K24" s="114">
        <v>4.2799999999999998E-2</v>
      </c>
      <c r="L24" s="114">
        <v>4.2799999999999998E-2</v>
      </c>
      <c r="M24" s="107"/>
      <c r="N24" s="107"/>
    </row>
    <row r="25" spans="1:14">
      <c r="A25" s="228"/>
      <c r="B25" s="228" t="s">
        <v>117</v>
      </c>
      <c r="C25" s="238" t="s">
        <v>168</v>
      </c>
      <c r="D25" s="239" t="s">
        <v>117</v>
      </c>
      <c r="E25" s="239"/>
      <c r="F25" s="238" t="s">
        <v>169</v>
      </c>
      <c r="G25" s="239"/>
      <c r="H25" s="238" t="s">
        <v>162</v>
      </c>
      <c r="I25" s="239"/>
      <c r="J25" s="114">
        <v>5.5500000000000001E-2</v>
      </c>
      <c r="K25" s="114">
        <v>5.9499999999999997E-2</v>
      </c>
      <c r="L25" s="114">
        <v>7.4499999999999997E-2</v>
      </c>
      <c r="M25" s="107"/>
      <c r="N25" s="107"/>
    </row>
    <row r="26" spans="1:14">
      <c r="A26" s="228"/>
      <c r="B26" s="228" t="s">
        <v>117</v>
      </c>
      <c r="C26" s="241" t="s">
        <v>170</v>
      </c>
      <c r="D26" s="242" t="s">
        <v>117</v>
      </c>
      <c r="E26" s="242"/>
      <c r="F26" s="241" t="s">
        <v>157</v>
      </c>
      <c r="G26" s="242"/>
      <c r="H26" s="241" t="s">
        <v>164</v>
      </c>
      <c r="I26" s="242"/>
      <c r="J26" s="115">
        <v>6.7000000000000004E-2</v>
      </c>
      <c r="K26" s="115">
        <v>6.8000000000000005E-2</v>
      </c>
      <c r="L26" s="115">
        <v>8.3000000000000004E-2</v>
      </c>
      <c r="M26" s="107"/>
      <c r="N26" s="107"/>
    </row>
    <row r="27" spans="1:14">
      <c r="A27" s="227" t="s">
        <v>171</v>
      </c>
      <c r="B27" s="228" t="s">
        <v>117</v>
      </c>
      <c r="C27" s="238" t="s">
        <v>143</v>
      </c>
      <c r="D27" s="239" t="s">
        <v>117</v>
      </c>
      <c r="E27" s="239"/>
      <c r="F27" s="238" t="s">
        <v>172</v>
      </c>
      <c r="G27" s="239"/>
      <c r="H27" s="238" t="s">
        <v>173</v>
      </c>
      <c r="I27" s="239"/>
      <c r="J27" s="114">
        <v>0.09</v>
      </c>
      <c r="K27" s="114">
        <v>0</v>
      </c>
      <c r="L27" s="114">
        <v>0</v>
      </c>
      <c r="M27" s="107"/>
      <c r="N27" s="107"/>
    </row>
    <row r="28" spans="1:14">
      <c r="A28" s="228"/>
      <c r="B28" s="228" t="s">
        <v>117</v>
      </c>
      <c r="C28" s="238" t="s">
        <v>154</v>
      </c>
      <c r="D28" s="239" t="s">
        <v>117</v>
      </c>
      <c r="E28" s="239"/>
      <c r="F28" s="238" t="s">
        <v>174</v>
      </c>
      <c r="G28" s="239"/>
      <c r="H28" s="238" t="s">
        <v>175</v>
      </c>
      <c r="I28" s="239"/>
      <c r="J28" s="114">
        <v>0.1</v>
      </c>
      <c r="K28" s="114">
        <v>1.4999999999999999E-2</v>
      </c>
      <c r="L28" s="114">
        <v>0.03</v>
      </c>
      <c r="M28" s="107"/>
      <c r="N28" s="107"/>
    </row>
    <row r="29" spans="1:14">
      <c r="A29" s="228"/>
      <c r="B29" s="228" t="s">
        <v>117</v>
      </c>
      <c r="C29" s="244">
        <v>0.15</v>
      </c>
      <c r="D29" s="244">
        <v>0.15</v>
      </c>
      <c r="E29" s="242"/>
      <c r="F29" s="241" t="s">
        <v>176</v>
      </c>
      <c r="G29" s="242"/>
      <c r="H29" s="244">
        <v>0.02</v>
      </c>
      <c r="I29" s="242"/>
      <c r="J29" s="115">
        <v>0.11</v>
      </c>
      <c r="K29" s="115">
        <v>2.5000000000000001E-2</v>
      </c>
      <c r="L29" s="115">
        <v>0.04</v>
      </c>
      <c r="M29" s="107"/>
      <c r="N29" s="107"/>
    </row>
    <row r="30" spans="1:14">
      <c r="A30" s="245"/>
      <c r="B30" s="245" t="s">
        <v>117</v>
      </c>
      <c r="C30" s="245"/>
      <c r="D30" s="245" t="s">
        <v>117</v>
      </c>
      <c r="E30" s="245"/>
      <c r="F30" s="245"/>
      <c r="G30" s="245"/>
      <c r="H30" s="245"/>
      <c r="I30" s="245"/>
      <c r="J30" s="245"/>
      <c r="K30" s="245"/>
      <c r="L30" s="245"/>
      <c r="M30" s="107"/>
      <c r="N30" s="107"/>
    </row>
    <row r="31" spans="1:14">
      <c r="A31" s="246" t="s">
        <v>177</v>
      </c>
      <c r="B31" s="247" t="s">
        <v>117</v>
      </c>
      <c r="C31" s="247"/>
      <c r="D31" s="247" t="s">
        <v>117</v>
      </c>
      <c r="E31" s="248" t="s">
        <v>178</v>
      </c>
      <c r="F31" s="249"/>
      <c r="G31" s="249"/>
      <c r="H31" s="249"/>
      <c r="I31" s="249"/>
      <c r="J31" s="249"/>
      <c r="K31" s="245"/>
      <c r="L31" s="245"/>
      <c r="M31" s="107"/>
      <c r="N31" s="107"/>
    </row>
    <row r="32" spans="1:14">
      <c r="A32" s="250" t="s">
        <v>179</v>
      </c>
      <c r="B32" s="251" t="s">
        <v>117</v>
      </c>
      <c r="C32" s="251"/>
      <c r="D32" s="251" t="s">
        <v>117</v>
      </c>
      <c r="E32" s="250" t="s">
        <v>180</v>
      </c>
      <c r="F32" s="251"/>
      <c r="G32" s="251"/>
      <c r="H32" s="251"/>
      <c r="I32" s="251"/>
      <c r="J32" s="251"/>
      <c r="K32" s="245"/>
      <c r="L32" s="245"/>
      <c r="M32" s="107"/>
      <c r="N32" s="107"/>
    </row>
    <row r="33" spans="1:14">
      <c r="A33" s="250" t="s">
        <v>181</v>
      </c>
      <c r="B33" s="251" t="s">
        <v>117</v>
      </c>
      <c r="C33" s="251"/>
      <c r="D33" s="251" t="s">
        <v>117</v>
      </c>
      <c r="E33" s="252">
        <v>100</v>
      </c>
      <c r="F33" s="253"/>
      <c r="G33" s="253"/>
      <c r="H33" s="253"/>
      <c r="I33" s="253"/>
      <c r="J33" s="253"/>
      <c r="K33" s="245"/>
      <c r="L33" s="245"/>
      <c r="M33" s="107"/>
      <c r="N33" s="107"/>
    </row>
    <row r="34" spans="1:14">
      <c r="A34" s="250" t="s">
        <v>182</v>
      </c>
      <c r="B34" s="251" t="s">
        <v>117</v>
      </c>
      <c r="C34" s="251"/>
      <c r="D34" s="251" t="s">
        <v>117</v>
      </c>
      <c r="E34" s="254">
        <v>150</v>
      </c>
      <c r="F34" s="251"/>
      <c r="G34" s="251"/>
      <c r="H34" s="251"/>
      <c r="I34" s="251"/>
      <c r="J34" s="251"/>
      <c r="K34" s="245"/>
      <c r="L34" s="245"/>
      <c r="M34" s="107"/>
      <c r="N34" s="107"/>
    </row>
    <row r="35" spans="1:14">
      <c r="A35" s="250" t="s">
        <v>183</v>
      </c>
      <c r="B35" s="251" t="s">
        <v>117</v>
      </c>
      <c r="C35" s="251"/>
      <c r="D35" s="251" t="s">
        <v>117</v>
      </c>
      <c r="E35" s="255" t="s">
        <v>184</v>
      </c>
      <c r="F35" s="251"/>
      <c r="G35" s="251"/>
      <c r="H35" s="251"/>
      <c r="I35" s="251"/>
      <c r="J35" s="251"/>
      <c r="K35" s="245"/>
      <c r="L35" s="245"/>
      <c r="M35" s="107"/>
      <c r="N35" s="107"/>
    </row>
    <row r="36" spans="1:14" ht="12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1:14" ht="40.5" customHeight="1">
      <c r="A37" s="256" t="s">
        <v>185</v>
      </c>
      <c r="B37" s="257"/>
      <c r="C37" s="257"/>
      <c r="D37" s="257"/>
      <c r="E37" s="257"/>
      <c r="F37" s="257"/>
      <c r="G37" s="257"/>
      <c r="H37" s="258" t="s">
        <v>186</v>
      </c>
      <c r="I37" s="259"/>
      <c r="J37" s="259"/>
      <c r="K37" s="258" t="s">
        <v>187</v>
      </c>
      <c r="L37" s="259"/>
      <c r="M37" s="259"/>
      <c r="N37" s="259"/>
    </row>
    <row r="38" spans="1:14" ht="39" customHeight="1">
      <c r="A38" s="108"/>
      <c r="B38" s="260"/>
      <c r="C38" s="260"/>
      <c r="D38" s="261" t="s">
        <v>188</v>
      </c>
      <c r="E38" s="262"/>
      <c r="F38" s="263" t="s">
        <v>189</v>
      </c>
      <c r="G38" s="262"/>
      <c r="H38" s="264" t="s">
        <v>190</v>
      </c>
      <c r="I38" s="259"/>
      <c r="J38" s="259"/>
      <c r="K38" s="264" t="s">
        <v>191</v>
      </c>
      <c r="L38" s="259"/>
      <c r="M38" s="259"/>
      <c r="N38" s="259"/>
    </row>
    <row r="39" spans="1:14" ht="32.25" customHeight="1">
      <c r="A39" s="270" t="s">
        <v>192</v>
      </c>
      <c r="B39" s="265" t="s">
        <v>193</v>
      </c>
      <c r="C39" s="266"/>
      <c r="D39" s="267">
        <v>9000</v>
      </c>
      <c r="E39" s="259"/>
      <c r="F39" s="268">
        <v>11000</v>
      </c>
      <c r="G39" s="259"/>
      <c r="H39" s="264" t="s">
        <v>194</v>
      </c>
      <c r="I39" s="259"/>
      <c r="J39" s="259"/>
      <c r="K39" s="264" t="s">
        <v>195</v>
      </c>
      <c r="L39" s="259"/>
      <c r="M39" s="259"/>
      <c r="N39" s="259"/>
    </row>
    <row r="40" spans="1:14" ht="32.25" customHeight="1">
      <c r="A40" s="271"/>
      <c r="B40" s="264" t="s">
        <v>196</v>
      </c>
      <c r="C40" s="259"/>
      <c r="D40" s="267">
        <v>11000</v>
      </c>
      <c r="E40" s="259"/>
      <c r="F40" s="268">
        <v>13500</v>
      </c>
      <c r="G40" s="259"/>
      <c r="H40" s="264" t="s">
        <v>197</v>
      </c>
      <c r="I40" s="259"/>
      <c r="J40" s="259"/>
      <c r="K40" s="264" t="s">
        <v>198</v>
      </c>
      <c r="L40" s="259"/>
      <c r="M40" s="259"/>
      <c r="N40" s="259"/>
    </row>
    <row r="41" spans="1:14">
      <c r="A41" s="271"/>
      <c r="B41" s="265" t="s">
        <v>199</v>
      </c>
      <c r="C41" s="266"/>
      <c r="D41" s="272">
        <v>13000</v>
      </c>
      <c r="E41" s="266"/>
      <c r="F41" s="273">
        <v>15500</v>
      </c>
      <c r="G41" s="266"/>
      <c r="H41" s="264" t="s">
        <v>200</v>
      </c>
      <c r="I41" s="259"/>
      <c r="J41" s="259"/>
      <c r="K41" s="264" t="s">
        <v>201</v>
      </c>
      <c r="L41" s="259"/>
      <c r="M41" s="259"/>
      <c r="N41" s="259"/>
    </row>
    <row r="42" spans="1:14" ht="34.5" customHeight="1">
      <c r="A42" s="109" t="s">
        <v>202</v>
      </c>
      <c r="B42" s="274"/>
      <c r="C42" s="274"/>
      <c r="D42" s="272">
        <v>6000</v>
      </c>
      <c r="E42" s="266"/>
      <c r="F42" s="273">
        <v>8000</v>
      </c>
      <c r="G42" s="266"/>
      <c r="H42" s="264" t="s">
        <v>203</v>
      </c>
      <c r="I42" s="259"/>
      <c r="J42" s="259"/>
      <c r="K42" s="264" t="s">
        <v>204</v>
      </c>
      <c r="L42" s="259"/>
      <c r="M42" s="259"/>
      <c r="N42" s="259"/>
    </row>
    <row r="43" spans="1:14" ht="24" customHeight="1">
      <c r="A43" s="269" t="s">
        <v>205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</row>
    <row r="44" spans="1:14" ht="25.5">
      <c r="A44" s="258" t="s">
        <v>206</v>
      </c>
      <c r="B44" s="259"/>
      <c r="C44" s="259"/>
      <c r="D44" s="259"/>
      <c r="E44" s="259"/>
      <c r="F44" s="259"/>
      <c r="G44" s="112" t="s">
        <v>207</v>
      </c>
      <c r="H44" s="265" t="s">
        <v>208</v>
      </c>
      <c r="I44" s="266"/>
      <c r="J44" s="266"/>
      <c r="K44" s="266"/>
      <c r="L44" s="266"/>
      <c r="M44" s="266"/>
      <c r="N44" s="245"/>
    </row>
    <row r="45" spans="1:14" ht="25.5">
      <c r="A45" s="259"/>
      <c r="B45" s="259"/>
      <c r="C45" s="259"/>
      <c r="D45" s="259"/>
      <c r="E45" s="259"/>
      <c r="F45" s="259"/>
      <c r="G45" s="112" t="s">
        <v>209</v>
      </c>
      <c r="H45" s="265" t="s">
        <v>210</v>
      </c>
      <c r="I45" s="266"/>
      <c r="J45" s="266"/>
      <c r="K45" s="266"/>
      <c r="L45" s="266"/>
      <c r="M45" s="266"/>
      <c r="N45" s="245"/>
    </row>
    <row r="46" spans="1:14" ht="25.5">
      <c r="A46" s="259"/>
      <c r="B46" s="259"/>
      <c r="C46" s="259"/>
      <c r="D46" s="259"/>
      <c r="E46" s="259"/>
      <c r="F46" s="259"/>
      <c r="G46" s="112" t="s">
        <v>211</v>
      </c>
      <c r="H46" s="265" t="s">
        <v>212</v>
      </c>
      <c r="I46" s="266"/>
      <c r="J46" s="266"/>
      <c r="K46" s="266"/>
      <c r="L46" s="266"/>
      <c r="M46" s="266"/>
      <c r="N46" s="245"/>
    </row>
  </sheetData>
  <mergeCells count="140">
    <mergeCell ref="A43:N43"/>
    <mergeCell ref="H44:M44"/>
    <mergeCell ref="H45:M45"/>
    <mergeCell ref="H46:M46"/>
    <mergeCell ref="A39:A41"/>
    <mergeCell ref="N44:N46"/>
    <mergeCell ref="A4:B7"/>
    <mergeCell ref="A8:B12"/>
    <mergeCell ref="A13:B16"/>
    <mergeCell ref="A17:B20"/>
    <mergeCell ref="A21:B23"/>
    <mergeCell ref="A24:B26"/>
    <mergeCell ref="A27:B29"/>
    <mergeCell ref="K31:L35"/>
    <mergeCell ref="A44:F46"/>
    <mergeCell ref="B41:C41"/>
    <mergeCell ref="D41:E41"/>
    <mergeCell ref="F41:G41"/>
    <mergeCell ref="H41:J41"/>
    <mergeCell ref="K41:N41"/>
    <mergeCell ref="B42:C42"/>
    <mergeCell ref="D42:E42"/>
    <mergeCell ref="F42:G42"/>
    <mergeCell ref="H42:J42"/>
    <mergeCell ref="K42:N42"/>
    <mergeCell ref="B39:C39"/>
    <mergeCell ref="D39:E39"/>
    <mergeCell ref="F39:G39"/>
    <mergeCell ref="H39:J39"/>
    <mergeCell ref="K39:N39"/>
    <mergeCell ref="B40:C40"/>
    <mergeCell ref="D40:E40"/>
    <mergeCell ref="F40:G40"/>
    <mergeCell ref="H40:J40"/>
    <mergeCell ref="K40:N40"/>
    <mergeCell ref="A34:D34"/>
    <mergeCell ref="E34:J34"/>
    <mergeCell ref="A35:D35"/>
    <mergeCell ref="E35:J35"/>
    <mergeCell ref="A37:G37"/>
    <mergeCell ref="H37:J37"/>
    <mergeCell ref="K37:N37"/>
    <mergeCell ref="B38:C38"/>
    <mergeCell ref="D38:E38"/>
    <mergeCell ref="F38:G38"/>
    <mergeCell ref="H38:J38"/>
    <mergeCell ref="K38:N38"/>
    <mergeCell ref="C29:E29"/>
    <mergeCell ref="F29:G29"/>
    <mergeCell ref="H29:I29"/>
    <mergeCell ref="A30:L30"/>
    <mergeCell ref="A31:D31"/>
    <mergeCell ref="E31:J31"/>
    <mergeCell ref="A32:D32"/>
    <mergeCell ref="E32:J32"/>
    <mergeCell ref="A33:D33"/>
    <mergeCell ref="E33:J33"/>
    <mergeCell ref="C26:E26"/>
    <mergeCell ref="F26:G26"/>
    <mergeCell ref="H26:I26"/>
    <mergeCell ref="C27:E27"/>
    <mergeCell ref="F27:G27"/>
    <mergeCell ref="H27:I27"/>
    <mergeCell ref="C28:E28"/>
    <mergeCell ref="F28:G28"/>
    <mergeCell ref="H28:I28"/>
    <mergeCell ref="C23:E23"/>
    <mergeCell ref="F23:G23"/>
    <mergeCell ref="H23:I23"/>
    <mergeCell ref="C24:E24"/>
    <mergeCell ref="F24:G24"/>
    <mergeCell ref="H24:I24"/>
    <mergeCell ref="C25:E25"/>
    <mergeCell ref="F25:G25"/>
    <mergeCell ref="H25:I25"/>
    <mergeCell ref="C20:E20"/>
    <mergeCell ref="F20:G20"/>
    <mergeCell ref="H20:I20"/>
    <mergeCell ref="C21:E21"/>
    <mergeCell ref="F21:G21"/>
    <mergeCell ref="H21:I21"/>
    <mergeCell ref="C22:E22"/>
    <mergeCell ref="F22:G22"/>
    <mergeCell ref="H22:I22"/>
    <mergeCell ref="C17:E17"/>
    <mergeCell ref="F17:G17"/>
    <mergeCell ref="H17:I17"/>
    <mergeCell ref="C18:E18"/>
    <mergeCell ref="F18:G18"/>
    <mergeCell ref="H18:I18"/>
    <mergeCell ref="C19:E19"/>
    <mergeCell ref="F19:G19"/>
    <mergeCell ref="H19:I19"/>
    <mergeCell ref="C14:E14"/>
    <mergeCell ref="F14:G14"/>
    <mergeCell ref="H14:I14"/>
    <mergeCell ref="C15:E15"/>
    <mergeCell ref="F15:G15"/>
    <mergeCell ref="H15:I15"/>
    <mergeCell ref="C16:E16"/>
    <mergeCell ref="F16:G16"/>
    <mergeCell ref="H16:I16"/>
    <mergeCell ref="C11:E11"/>
    <mergeCell ref="F11:G11"/>
    <mergeCell ref="H11:I11"/>
    <mergeCell ref="C12:E12"/>
    <mergeCell ref="F12:G12"/>
    <mergeCell ref="H12:I12"/>
    <mergeCell ref="C13:E13"/>
    <mergeCell ref="F13:G13"/>
    <mergeCell ref="H13:I13"/>
    <mergeCell ref="C8:E8"/>
    <mergeCell ref="F8:G8"/>
    <mergeCell ref="H8:I8"/>
    <mergeCell ref="C9:E9"/>
    <mergeCell ref="F9:G9"/>
    <mergeCell ref="H9:I9"/>
    <mergeCell ref="C10:E10"/>
    <mergeCell ref="F10:G10"/>
    <mergeCell ref="H10:I10"/>
    <mergeCell ref="C5:E5"/>
    <mergeCell ref="F5:G5"/>
    <mergeCell ref="H5:I5"/>
    <mergeCell ref="C6:E6"/>
    <mergeCell ref="F6:G6"/>
    <mergeCell ref="H6:I6"/>
    <mergeCell ref="C7:E7"/>
    <mergeCell ref="F7:G7"/>
    <mergeCell ref="H7:I7"/>
    <mergeCell ref="A1:L1"/>
    <mergeCell ref="A2:B2"/>
    <mergeCell ref="C2:I2"/>
    <mergeCell ref="J2:L2"/>
    <mergeCell ref="A3:B3"/>
    <mergeCell ref="C3:E3"/>
    <mergeCell ref="F3:G3"/>
    <mergeCell ref="H3:I3"/>
    <mergeCell ref="C4:E4"/>
    <mergeCell ref="F4:G4"/>
    <mergeCell ref="H4:I4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H16" sqref="H16:H17"/>
    </sheetView>
  </sheetViews>
  <sheetFormatPr defaultColWidth="9" defaultRowHeight="15"/>
  <cols>
    <col min="2" max="2" width="23.85546875" customWidth="1"/>
    <col min="3" max="3" width="19.7109375" customWidth="1"/>
    <col min="4" max="4" width="23" customWidth="1"/>
    <col min="7" max="7" width="24.85546875" bestFit="1" customWidth="1"/>
  </cols>
  <sheetData>
    <row r="1" spans="1:7" ht="18.399999999999999" customHeight="1">
      <c r="A1" s="275" t="s">
        <v>213</v>
      </c>
      <c r="B1" s="275"/>
      <c r="C1" s="275"/>
      <c r="D1" s="275"/>
    </row>
    <row r="2" spans="1:7">
      <c r="A2" s="100" t="s">
        <v>214</v>
      </c>
      <c r="B2" s="101" t="s">
        <v>215</v>
      </c>
      <c r="C2" s="101" t="s">
        <v>216</v>
      </c>
      <c r="D2" s="101" t="s">
        <v>217</v>
      </c>
    </row>
    <row r="3" spans="1:7">
      <c r="A3" s="100"/>
      <c r="B3" s="101" t="s">
        <v>218</v>
      </c>
      <c r="C3" s="101"/>
      <c r="D3" s="102">
        <v>0.25</v>
      </c>
    </row>
    <row r="4" spans="1:7">
      <c r="A4" s="103" t="s">
        <v>213</v>
      </c>
      <c r="B4" s="104" t="s">
        <v>219</v>
      </c>
      <c r="C4" s="105">
        <v>45627</v>
      </c>
      <c r="D4" s="106">
        <v>0.2</v>
      </c>
    </row>
    <row r="5" spans="1:7">
      <c r="A5" s="103" t="s">
        <v>213</v>
      </c>
      <c r="B5" s="104" t="s">
        <v>220</v>
      </c>
      <c r="C5" s="105">
        <v>45444</v>
      </c>
      <c r="D5" s="106">
        <v>0.25</v>
      </c>
    </row>
    <row r="6" spans="1:7">
      <c r="A6" s="103" t="s">
        <v>213</v>
      </c>
      <c r="B6" s="104" t="s">
        <v>221</v>
      </c>
      <c r="C6" s="105">
        <v>45292</v>
      </c>
      <c r="D6" s="106">
        <v>0.2</v>
      </c>
    </row>
    <row r="7" spans="1:7">
      <c r="A7" s="103" t="s">
        <v>213</v>
      </c>
      <c r="B7" s="104" t="s">
        <v>222</v>
      </c>
      <c r="C7" s="105">
        <v>45017</v>
      </c>
      <c r="D7" s="106">
        <v>0.2</v>
      </c>
    </row>
    <row r="8" spans="1:7">
      <c r="A8" s="103" t="s">
        <v>213</v>
      </c>
      <c r="B8" s="104" t="s">
        <v>223</v>
      </c>
      <c r="C8" s="105">
        <v>44713</v>
      </c>
      <c r="D8" s="106">
        <v>0.2</v>
      </c>
    </row>
    <row r="9" spans="1:7">
      <c r="A9" s="103" t="s">
        <v>213</v>
      </c>
      <c r="B9" s="104" t="s">
        <v>224</v>
      </c>
      <c r="C9" s="105">
        <v>44531</v>
      </c>
      <c r="D9" s="106">
        <v>0.2</v>
      </c>
    </row>
    <row r="10" spans="1:7">
      <c r="A10" s="103" t="s">
        <v>213</v>
      </c>
      <c r="B10" s="104" t="s">
        <v>225</v>
      </c>
      <c r="C10" s="105">
        <v>44256</v>
      </c>
      <c r="D10" s="106">
        <v>0.23</v>
      </c>
    </row>
    <row r="11" spans="1:7" ht="18.75">
      <c r="A11" s="103" t="s">
        <v>213</v>
      </c>
      <c r="B11" s="104" t="s">
        <v>226</v>
      </c>
      <c r="C11" s="105">
        <v>43862</v>
      </c>
      <c r="D11" s="106">
        <v>0.25</v>
      </c>
      <c r="G11" s="368" t="s">
        <v>401</v>
      </c>
    </row>
    <row r="12" spans="1:7">
      <c r="A12" s="103" t="s">
        <v>213</v>
      </c>
      <c r="B12" s="104" t="s">
        <v>227</v>
      </c>
      <c r="C12" s="105">
        <v>43800</v>
      </c>
      <c r="D12" s="106">
        <v>0.23</v>
      </c>
    </row>
    <row r="13" spans="1:7">
      <c r="A13" s="103" t="s">
        <v>213</v>
      </c>
      <c r="B13" s="104" t="s">
        <v>228</v>
      </c>
      <c r="C13" s="105">
        <v>43800</v>
      </c>
      <c r="D13" s="106">
        <v>0.23</v>
      </c>
    </row>
    <row r="14" spans="1:7">
      <c r="A14" s="103" t="s">
        <v>213</v>
      </c>
      <c r="B14" s="104" t="s">
        <v>229</v>
      </c>
      <c r="C14" s="105">
        <v>43678</v>
      </c>
      <c r="D14" s="106">
        <v>0.25</v>
      </c>
    </row>
    <row r="15" spans="1:7">
      <c r="A15" s="103" t="s">
        <v>213</v>
      </c>
      <c r="B15" s="104" t="s">
        <v>230</v>
      </c>
      <c r="C15" s="105">
        <v>43678</v>
      </c>
      <c r="D15" s="106">
        <v>0.25</v>
      </c>
    </row>
    <row r="16" spans="1:7">
      <c r="A16" s="103" t="s">
        <v>213</v>
      </c>
      <c r="B16" s="104" t="s">
        <v>231</v>
      </c>
      <c r="C16" s="105">
        <v>43525</v>
      </c>
      <c r="D16" s="106">
        <v>0.23</v>
      </c>
    </row>
    <row r="17" spans="1:4">
      <c r="A17" s="103" t="s">
        <v>213</v>
      </c>
      <c r="B17" s="104" t="s">
        <v>232</v>
      </c>
      <c r="C17" s="105">
        <v>43525</v>
      </c>
      <c r="D17" s="106">
        <v>0.25</v>
      </c>
    </row>
    <row r="18" spans="1:4">
      <c r="A18" s="103" t="s">
        <v>213</v>
      </c>
      <c r="B18" s="104" t="s">
        <v>233</v>
      </c>
      <c r="C18" s="105">
        <v>43525</v>
      </c>
      <c r="D18" s="106">
        <v>0.25</v>
      </c>
    </row>
    <row r="19" spans="1:4">
      <c r="A19" s="103" t="s">
        <v>213</v>
      </c>
      <c r="B19" s="104" t="s">
        <v>234</v>
      </c>
      <c r="C19" s="105">
        <v>43466</v>
      </c>
      <c r="D19" s="106">
        <v>0.25</v>
      </c>
    </row>
    <row r="20" spans="1:4">
      <c r="A20" s="103" t="s">
        <v>213</v>
      </c>
      <c r="B20" s="104" t="s">
        <v>235</v>
      </c>
      <c r="C20" s="105">
        <v>43435</v>
      </c>
      <c r="D20" s="106">
        <v>0.25</v>
      </c>
    </row>
    <row r="21" spans="1:4">
      <c r="A21" s="103" t="s">
        <v>213</v>
      </c>
      <c r="B21" s="104" t="s">
        <v>236</v>
      </c>
      <c r="C21" s="105">
        <v>42795</v>
      </c>
      <c r="D21" s="106">
        <v>0.3</v>
      </c>
    </row>
    <row r="22" spans="1:4">
      <c r="A22" s="103" t="s">
        <v>213</v>
      </c>
      <c r="B22" s="104" t="s">
        <v>237</v>
      </c>
      <c r="C22" s="105">
        <v>42795</v>
      </c>
      <c r="D22" s="106">
        <v>0.3</v>
      </c>
    </row>
    <row r="23" spans="1:4">
      <c r="A23" s="103" t="s">
        <v>213</v>
      </c>
      <c r="B23" s="104" t="s">
        <v>238</v>
      </c>
      <c r="C23" s="105">
        <v>42795</v>
      </c>
      <c r="D23" s="106">
        <v>0.25</v>
      </c>
    </row>
    <row r="24" spans="1:4">
      <c r="A24" s="103" t="s">
        <v>213</v>
      </c>
      <c r="B24" s="104" t="s">
        <v>239</v>
      </c>
      <c r="C24" s="105">
        <v>42795</v>
      </c>
      <c r="D24" s="106">
        <v>0.25</v>
      </c>
    </row>
    <row r="25" spans="1:4">
      <c r="A25" s="103" t="s">
        <v>213</v>
      </c>
      <c r="B25" s="104" t="s">
        <v>240</v>
      </c>
      <c r="C25" s="105">
        <v>42736</v>
      </c>
      <c r="D25" s="106">
        <v>0.3</v>
      </c>
    </row>
    <row r="26" spans="1:4">
      <c r="A26" s="103" t="s">
        <v>213</v>
      </c>
      <c r="B26" s="104" t="s">
        <v>241</v>
      </c>
      <c r="C26" s="105">
        <v>42095</v>
      </c>
      <c r="D26" s="106">
        <v>0.3</v>
      </c>
    </row>
    <row r="27" spans="1:4">
      <c r="A27" s="103" t="s">
        <v>213</v>
      </c>
      <c r="B27" s="104" t="s">
        <v>242</v>
      </c>
      <c r="C27" s="105">
        <v>40148</v>
      </c>
      <c r="D27" s="106">
        <v>0.3</v>
      </c>
    </row>
    <row r="28" spans="1:4">
      <c r="A28" s="103" t="s">
        <v>213</v>
      </c>
      <c r="B28" s="104" t="s">
        <v>243</v>
      </c>
      <c r="C28" s="105">
        <v>39417</v>
      </c>
      <c r="D28" s="106">
        <v>0.3</v>
      </c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zoomScale="70" zoomScaleNormal="70" workbookViewId="0">
      <selection activeCell="O11" sqref="O11:Q11"/>
    </sheetView>
  </sheetViews>
  <sheetFormatPr defaultColWidth="9" defaultRowHeight="15"/>
  <sheetData>
    <row r="1" spans="1:17" ht="83.1" customHeight="1">
      <c r="A1" s="318" t="s">
        <v>270</v>
      </c>
      <c r="B1" s="319"/>
      <c r="C1" s="276" t="s">
        <v>271</v>
      </c>
      <c r="D1" s="277"/>
      <c r="E1" s="277"/>
      <c r="F1" s="276" t="s">
        <v>272</v>
      </c>
      <c r="G1" s="277"/>
      <c r="H1" s="277" t="s">
        <v>117</v>
      </c>
      <c r="J1" s="320" t="s">
        <v>273</v>
      </c>
      <c r="K1" s="321"/>
      <c r="L1" s="278" t="s">
        <v>274</v>
      </c>
      <c r="M1" s="279"/>
      <c r="N1" s="279"/>
      <c r="O1" s="276" t="s">
        <v>187</v>
      </c>
      <c r="P1" s="277"/>
      <c r="Q1" s="277" t="s">
        <v>117</v>
      </c>
    </row>
    <row r="2" spans="1:17" ht="18.75">
      <c r="A2" s="319"/>
      <c r="B2" s="319"/>
      <c r="C2" s="280" t="s">
        <v>275</v>
      </c>
      <c r="D2" s="281"/>
      <c r="E2" s="281"/>
      <c r="F2" s="282">
        <v>0.1</v>
      </c>
      <c r="G2" s="281"/>
      <c r="H2" s="281" t="s">
        <v>117</v>
      </c>
      <c r="J2" s="321"/>
      <c r="K2" s="321"/>
      <c r="L2" s="283" t="s">
        <v>276</v>
      </c>
      <c r="M2" s="284"/>
      <c r="N2" s="284"/>
      <c r="O2" s="285">
        <v>0.12</v>
      </c>
      <c r="P2" s="284"/>
      <c r="Q2" s="284" t="s">
        <v>117</v>
      </c>
    </row>
    <row r="3" spans="1:17" ht="18.75">
      <c r="A3" s="319"/>
      <c r="B3" s="319"/>
      <c r="C3" s="280" t="s">
        <v>277</v>
      </c>
      <c r="D3" s="281"/>
      <c r="E3" s="281"/>
      <c r="F3" s="282">
        <v>0.12</v>
      </c>
      <c r="G3" s="281"/>
      <c r="H3" s="281" t="s">
        <v>117</v>
      </c>
      <c r="J3" s="321"/>
      <c r="K3" s="321"/>
      <c r="L3" s="283" t="s">
        <v>278</v>
      </c>
      <c r="M3" s="284"/>
      <c r="N3" s="284"/>
      <c r="O3" s="285">
        <v>0.18</v>
      </c>
      <c r="P3" s="284"/>
      <c r="Q3" s="284" t="s">
        <v>117</v>
      </c>
    </row>
    <row r="4" spans="1:17" ht="18.75">
      <c r="A4" s="319"/>
      <c r="B4" s="319"/>
      <c r="C4" s="286" t="s">
        <v>279</v>
      </c>
      <c r="D4" s="287"/>
      <c r="E4" s="287"/>
      <c r="F4" s="288">
        <v>0.14000000000000001</v>
      </c>
      <c r="G4" s="287"/>
      <c r="H4" s="287" t="s">
        <v>117</v>
      </c>
      <c r="J4" s="321"/>
      <c r="K4" s="321"/>
      <c r="L4" s="289" t="s">
        <v>280</v>
      </c>
      <c r="M4" s="290"/>
      <c r="N4" s="290"/>
      <c r="O4" s="291">
        <v>0.25</v>
      </c>
      <c r="P4" s="290"/>
      <c r="Q4" s="290" t="s">
        <v>117</v>
      </c>
    </row>
    <row r="5" spans="1:17" ht="18.75">
      <c r="A5" s="319"/>
      <c r="B5" s="319"/>
      <c r="C5" s="286" t="s">
        <v>281</v>
      </c>
      <c r="D5" s="287"/>
      <c r="E5" s="287"/>
      <c r="F5" s="288">
        <v>0.16</v>
      </c>
      <c r="G5" s="287"/>
      <c r="H5" s="287" t="s">
        <v>117</v>
      </c>
      <c r="J5" s="321"/>
      <c r="K5" s="321"/>
      <c r="L5" s="289" t="s">
        <v>282</v>
      </c>
      <c r="M5" s="290"/>
      <c r="N5" s="290"/>
      <c r="O5" s="291">
        <v>0.3</v>
      </c>
      <c r="P5" s="290"/>
      <c r="Q5" s="290" t="s">
        <v>117</v>
      </c>
    </row>
    <row r="6" spans="1:17" ht="18.75">
      <c r="A6" s="319"/>
      <c r="B6" s="319"/>
      <c r="C6" s="280" t="s">
        <v>283</v>
      </c>
      <c r="D6" s="281"/>
      <c r="E6" s="281"/>
      <c r="F6" s="282">
        <v>0.18</v>
      </c>
      <c r="G6" s="281"/>
      <c r="H6" s="281" t="s">
        <v>117</v>
      </c>
      <c r="J6" s="321"/>
      <c r="K6" s="321"/>
      <c r="L6" s="283" t="s">
        <v>284</v>
      </c>
      <c r="M6" s="284"/>
      <c r="N6" s="284"/>
      <c r="O6" s="285">
        <v>0.4</v>
      </c>
      <c r="P6" s="284"/>
      <c r="Q6" s="284" t="s">
        <v>117</v>
      </c>
    </row>
    <row r="7" spans="1:17" ht="18.75">
      <c r="A7" s="319"/>
      <c r="B7" s="319"/>
      <c r="C7" s="322" t="s">
        <v>285</v>
      </c>
      <c r="D7" s="323"/>
      <c r="E7" s="323"/>
      <c r="F7" s="323"/>
      <c r="G7" s="323"/>
      <c r="H7" s="324"/>
      <c r="J7" s="321"/>
      <c r="K7" s="321"/>
      <c r="L7" s="292" t="s">
        <v>286</v>
      </c>
      <c r="M7" s="292"/>
      <c r="N7" s="292"/>
      <c r="O7" s="293">
        <v>0.1</v>
      </c>
      <c r="P7" s="292"/>
      <c r="Q7" s="292" t="s">
        <v>117</v>
      </c>
    </row>
    <row r="8" spans="1:17">
      <c r="A8" s="319"/>
      <c r="B8" s="319"/>
      <c r="C8" s="325"/>
      <c r="D8" s="326"/>
      <c r="E8" s="326"/>
      <c r="F8" s="326"/>
      <c r="G8" s="326"/>
      <c r="H8" s="327"/>
    </row>
    <row r="9" spans="1:17" ht="24.75" customHeight="1">
      <c r="A9" s="319"/>
      <c r="B9" s="319"/>
      <c r="C9" s="328"/>
      <c r="D9" s="329"/>
      <c r="E9" s="329"/>
      <c r="F9" s="329"/>
      <c r="G9" s="329"/>
      <c r="H9" s="330"/>
    </row>
    <row r="11" spans="1:17" ht="101.1" customHeight="1">
      <c r="A11" s="320" t="s">
        <v>287</v>
      </c>
      <c r="B11" s="321"/>
      <c r="C11" s="278" t="s">
        <v>274</v>
      </c>
      <c r="D11" s="279"/>
      <c r="E11" s="279"/>
      <c r="F11" s="276" t="s">
        <v>187</v>
      </c>
      <c r="G11" s="277"/>
      <c r="H11" s="277" t="s">
        <v>117</v>
      </c>
      <c r="J11" s="320" t="s">
        <v>288</v>
      </c>
      <c r="K11" s="321"/>
      <c r="L11" s="278" t="s">
        <v>274</v>
      </c>
      <c r="M11" s="279"/>
      <c r="N11" s="279"/>
      <c r="O11" s="276" t="s">
        <v>187</v>
      </c>
      <c r="P11" s="277"/>
      <c r="Q11" s="277" t="s">
        <v>117</v>
      </c>
    </row>
    <row r="12" spans="1:17" ht="18.75">
      <c r="A12" s="321"/>
      <c r="B12" s="321"/>
      <c r="C12" s="283" t="s">
        <v>276</v>
      </c>
      <c r="D12" s="284"/>
      <c r="E12" s="284"/>
      <c r="F12" s="285">
        <v>0.15</v>
      </c>
      <c r="G12" s="284"/>
      <c r="H12" s="284" t="s">
        <v>117</v>
      </c>
      <c r="J12" s="321"/>
      <c r="K12" s="321"/>
      <c r="L12" s="283" t="s">
        <v>276</v>
      </c>
      <c r="M12" s="284"/>
      <c r="N12" s="284"/>
      <c r="O12" s="285">
        <v>0.2</v>
      </c>
      <c r="P12" s="284"/>
      <c r="Q12" s="284" t="s">
        <v>117</v>
      </c>
    </row>
    <row r="13" spans="1:17" ht="18.75">
      <c r="A13" s="321"/>
      <c r="B13" s="321"/>
      <c r="C13" s="283" t="s">
        <v>289</v>
      </c>
      <c r="D13" s="284"/>
      <c r="E13" s="284"/>
      <c r="F13" s="285">
        <v>0.2</v>
      </c>
      <c r="G13" s="284"/>
      <c r="H13" s="284" t="s">
        <v>117</v>
      </c>
      <c r="J13" s="321"/>
      <c r="K13" s="321"/>
      <c r="L13" s="283" t="s">
        <v>278</v>
      </c>
      <c r="M13" s="284"/>
      <c r="N13" s="284"/>
      <c r="O13" s="285">
        <v>0.3</v>
      </c>
      <c r="P13" s="284"/>
      <c r="Q13" s="284" t="s">
        <v>117</v>
      </c>
    </row>
    <row r="14" spans="1:17" ht="63" customHeight="1">
      <c r="A14" s="321"/>
      <c r="B14" s="321"/>
      <c r="C14" s="289" t="s">
        <v>290</v>
      </c>
      <c r="D14" s="290"/>
      <c r="E14" s="290"/>
      <c r="F14" s="291">
        <v>0.3</v>
      </c>
      <c r="G14" s="290"/>
      <c r="H14" s="290" t="s">
        <v>117</v>
      </c>
      <c r="J14" s="321"/>
      <c r="K14" s="321"/>
      <c r="L14" s="289" t="s">
        <v>280</v>
      </c>
      <c r="M14" s="290"/>
      <c r="N14" s="290"/>
      <c r="O14" s="291">
        <v>0.4</v>
      </c>
      <c r="P14" s="290"/>
      <c r="Q14" s="290" t="s">
        <v>117</v>
      </c>
    </row>
    <row r="15" spans="1:17" ht="18.75">
      <c r="A15" s="321"/>
      <c r="B15" s="321"/>
      <c r="C15" s="289" t="s">
        <v>291</v>
      </c>
      <c r="D15" s="290"/>
      <c r="E15" s="290"/>
      <c r="F15" s="291">
        <v>0.4</v>
      </c>
      <c r="G15" s="290"/>
      <c r="H15" s="290" t="s">
        <v>117</v>
      </c>
      <c r="J15" s="321"/>
      <c r="K15" s="321"/>
      <c r="L15" s="289" t="s">
        <v>292</v>
      </c>
      <c r="M15" s="290"/>
      <c r="N15" s="290"/>
      <c r="O15" s="291">
        <v>0.5</v>
      </c>
      <c r="P15" s="290"/>
      <c r="Q15" s="290" t="s">
        <v>117</v>
      </c>
    </row>
    <row r="16" spans="1:17" ht="18.75">
      <c r="A16" s="321"/>
      <c r="B16" s="321"/>
      <c r="C16" s="283" t="s">
        <v>292</v>
      </c>
      <c r="D16" s="284"/>
      <c r="E16" s="284"/>
      <c r="F16" s="285">
        <v>0.45</v>
      </c>
      <c r="G16" s="284"/>
      <c r="H16" s="284" t="s">
        <v>117</v>
      </c>
      <c r="J16" s="321"/>
      <c r="K16" s="321"/>
      <c r="L16" s="294" t="s">
        <v>286</v>
      </c>
      <c r="M16" s="295"/>
      <c r="N16" s="296"/>
      <c r="O16" s="300">
        <v>0.1</v>
      </c>
      <c r="P16" s="301"/>
      <c r="Q16" s="302"/>
    </row>
    <row r="17" spans="1:17" ht="45" customHeight="1">
      <c r="A17" s="321"/>
      <c r="B17" s="321"/>
      <c r="C17" s="292" t="s">
        <v>286</v>
      </c>
      <c r="D17" s="292"/>
      <c r="E17" s="292"/>
      <c r="F17" s="293">
        <v>0.1</v>
      </c>
      <c r="G17" s="292"/>
      <c r="H17" s="292" t="s">
        <v>117</v>
      </c>
      <c r="J17" s="321"/>
      <c r="K17" s="321"/>
      <c r="L17" s="297"/>
      <c r="M17" s="298"/>
      <c r="N17" s="299"/>
      <c r="O17" s="303"/>
      <c r="P17" s="304"/>
      <c r="Q17" s="305"/>
    </row>
    <row r="19" spans="1:17" ht="98.1" customHeight="1">
      <c r="A19" s="320" t="s">
        <v>293</v>
      </c>
      <c r="B19" s="321"/>
      <c r="C19" s="278" t="s">
        <v>294</v>
      </c>
      <c r="D19" s="279"/>
      <c r="E19" s="279"/>
      <c r="F19" s="276" t="s">
        <v>187</v>
      </c>
      <c r="G19" s="277"/>
      <c r="H19" s="277" t="s">
        <v>117</v>
      </c>
    </row>
    <row r="20" spans="1:17" ht="62.1" customHeight="1">
      <c r="A20" s="321"/>
      <c r="B20" s="321"/>
      <c r="C20" s="283" t="s">
        <v>295</v>
      </c>
      <c r="D20" s="284"/>
      <c r="E20" s="284"/>
      <c r="F20" s="285">
        <v>0.12</v>
      </c>
      <c r="G20" s="284"/>
      <c r="H20" s="284" t="s">
        <v>117</v>
      </c>
    </row>
    <row r="21" spans="1:17" ht="18.75">
      <c r="A21" s="321"/>
      <c r="B21" s="321"/>
      <c r="C21" s="283" t="s">
        <v>280</v>
      </c>
      <c r="D21" s="284"/>
      <c r="E21" s="284"/>
      <c r="F21" s="285">
        <v>0.25</v>
      </c>
      <c r="G21" s="284"/>
      <c r="H21" s="284" t="s">
        <v>117</v>
      </c>
    </row>
    <row r="22" spans="1:17" ht="81" customHeight="1">
      <c r="A22" s="321"/>
      <c r="B22" s="321"/>
      <c r="C22" s="289" t="s">
        <v>292</v>
      </c>
      <c r="D22" s="290"/>
      <c r="E22" s="290"/>
      <c r="F22" s="291">
        <v>0.35</v>
      </c>
      <c r="G22" s="290"/>
      <c r="H22" s="290" t="s">
        <v>117</v>
      </c>
    </row>
    <row r="23" spans="1:17">
      <c r="A23" s="321"/>
      <c r="B23" s="321"/>
      <c r="C23" s="294" t="s">
        <v>286</v>
      </c>
      <c r="D23" s="295"/>
      <c r="E23" s="296"/>
      <c r="F23" s="309">
        <v>0.1</v>
      </c>
      <c r="G23" s="310"/>
      <c r="H23" s="311"/>
    </row>
    <row r="24" spans="1:17">
      <c r="A24" s="321"/>
      <c r="B24" s="321"/>
      <c r="C24" s="306"/>
      <c r="D24" s="307"/>
      <c r="E24" s="308"/>
      <c r="F24" s="312"/>
      <c r="G24" s="313"/>
      <c r="H24" s="314"/>
    </row>
    <row r="25" spans="1:17">
      <c r="A25" s="321"/>
      <c r="B25" s="321"/>
      <c r="C25" s="297"/>
      <c r="D25" s="298"/>
      <c r="E25" s="299"/>
      <c r="F25" s="315"/>
      <c r="G25" s="316"/>
      <c r="H25" s="317"/>
    </row>
    <row r="28" spans="1:17" ht="24.95" customHeight="1"/>
    <row r="57" ht="41.1" customHeight="1"/>
    <row r="58" ht="66.95" customHeight="1"/>
    <row r="59" ht="33.950000000000003" customHeight="1"/>
    <row r="60" ht="24.95" customHeight="1"/>
    <row r="61" ht="30.95" customHeight="1"/>
    <row r="62" ht="41.1" customHeight="1"/>
    <row r="63" ht="27" customHeight="1"/>
    <row r="64" ht="54" customHeight="1"/>
    <row r="66" ht="53.1" customHeight="1"/>
  </sheetData>
  <mergeCells count="68">
    <mergeCell ref="L16:N17"/>
    <mergeCell ref="O16:Q17"/>
    <mergeCell ref="C23:E25"/>
    <mergeCell ref="F23:H25"/>
    <mergeCell ref="A1:B9"/>
    <mergeCell ref="A19:B25"/>
    <mergeCell ref="C7:H9"/>
    <mergeCell ref="J1:K7"/>
    <mergeCell ref="A11:B17"/>
    <mergeCell ref="J11:K17"/>
    <mergeCell ref="C20:E20"/>
    <mergeCell ref="F20:H20"/>
    <mergeCell ref="C21:E21"/>
    <mergeCell ref="F21:H21"/>
    <mergeCell ref="C22:E22"/>
    <mergeCell ref="F22:H22"/>
    <mergeCell ref="C16:E16"/>
    <mergeCell ref="F16:H16"/>
    <mergeCell ref="C17:E17"/>
    <mergeCell ref="F17:H17"/>
    <mergeCell ref="C19:E19"/>
    <mergeCell ref="F19:H19"/>
    <mergeCell ref="C14:E14"/>
    <mergeCell ref="F14:H14"/>
    <mergeCell ref="L14:N14"/>
    <mergeCell ref="O14:Q14"/>
    <mergeCell ref="C15:E15"/>
    <mergeCell ref="F15:H15"/>
    <mergeCell ref="L15:N15"/>
    <mergeCell ref="O15:Q15"/>
    <mergeCell ref="C12:E12"/>
    <mergeCell ref="F12:H12"/>
    <mergeCell ref="L12:N12"/>
    <mergeCell ref="O12:Q12"/>
    <mergeCell ref="C13:E13"/>
    <mergeCell ref="F13:H13"/>
    <mergeCell ref="L13:N13"/>
    <mergeCell ref="O13:Q13"/>
    <mergeCell ref="L7:N7"/>
    <mergeCell ref="O7:Q7"/>
    <mergeCell ref="C11:E11"/>
    <mergeCell ref="F11:H11"/>
    <mergeCell ref="L11:N11"/>
    <mergeCell ref="O11:Q11"/>
    <mergeCell ref="C5:E5"/>
    <mergeCell ref="F5:H5"/>
    <mergeCell ref="L5:N5"/>
    <mergeCell ref="O5:Q5"/>
    <mergeCell ref="C6:E6"/>
    <mergeCell ref="F6:H6"/>
    <mergeCell ref="L6:N6"/>
    <mergeCell ref="O6:Q6"/>
    <mergeCell ref="C3:E3"/>
    <mergeCell ref="F3:H3"/>
    <mergeCell ref="L3:N3"/>
    <mergeCell ref="O3:Q3"/>
    <mergeCell ref="C4:E4"/>
    <mergeCell ref="F4:H4"/>
    <mergeCell ref="L4:N4"/>
    <mergeCell ref="O4:Q4"/>
    <mergeCell ref="C1:E1"/>
    <mergeCell ref="F1:H1"/>
    <mergeCell ref="L1:N1"/>
    <mergeCell ref="O1:Q1"/>
    <mergeCell ref="C2:E2"/>
    <mergeCell ref="F2:H2"/>
    <mergeCell ref="L2:N2"/>
    <mergeCell ref="O2:Q2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I21" sqref="I21"/>
    </sheetView>
  </sheetViews>
  <sheetFormatPr defaultColWidth="9" defaultRowHeight="15"/>
  <cols>
    <col min="2" max="2" width="16.28515625" customWidth="1"/>
    <col min="3" max="3" width="14.28515625" customWidth="1"/>
    <col min="4" max="4" width="14.7109375" customWidth="1"/>
  </cols>
  <sheetData>
    <row r="1" spans="1:4">
      <c r="A1" s="81" t="s">
        <v>244</v>
      </c>
      <c r="B1" s="82"/>
      <c r="C1" s="82"/>
      <c r="D1" s="82"/>
    </row>
    <row r="2" spans="1:4">
      <c r="A2" s="83" t="s">
        <v>245</v>
      </c>
      <c r="B2" s="82"/>
      <c r="C2" s="82"/>
      <c r="D2" s="82"/>
    </row>
    <row r="3" spans="1:4" ht="18.399999999999999" customHeight="1">
      <c r="A3" s="331" t="s">
        <v>246</v>
      </c>
      <c r="B3" s="331"/>
      <c r="C3" s="332" t="s">
        <v>247</v>
      </c>
      <c r="D3" s="332"/>
    </row>
    <row r="4" spans="1:4" ht="25.5">
      <c r="A4" s="84" t="s">
        <v>248</v>
      </c>
      <c r="B4" s="84" t="s">
        <v>249</v>
      </c>
      <c r="C4" s="85" t="s">
        <v>250</v>
      </c>
      <c r="D4" s="86" t="s">
        <v>79</v>
      </c>
    </row>
    <row r="5" spans="1:4">
      <c r="A5" s="87"/>
      <c r="B5" s="88">
        <v>10959</v>
      </c>
      <c r="C5" s="89">
        <v>0.02</v>
      </c>
      <c r="D5" s="89">
        <v>0.02</v>
      </c>
    </row>
    <row r="6" spans="1:4">
      <c r="A6" s="87"/>
      <c r="B6" s="90" t="s">
        <v>251</v>
      </c>
      <c r="C6" s="89">
        <v>4.4999999999999998E-2</v>
      </c>
      <c r="D6" s="89">
        <v>0.04</v>
      </c>
    </row>
    <row r="7" spans="1:4" ht="25.5">
      <c r="A7" s="91" t="s">
        <v>252</v>
      </c>
      <c r="B7" s="90" t="s">
        <v>253</v>
      </c>
      <c r="C7" s="89">
        <v>5.7500000000000002E-2</v>
      </c>
      <c r="D7" s="89">
        <v>4.4999999999999998E-2</v>
      </c>
    </row>
    <row r="8" spans="1:4" ht="15.75">
      <c r="A8" s="82"/>
      <c r="B8" s="92" t="s">
        <v>254</v>
      </c>
      <c r="C8" s="93">
        <v>0.09</v>
      </c>
      <c r="D8" s="93">
        <v>0.09</v>
      </c>
    </row>
    <row r="9" spans="1:4" ht="15.75">
      <c r="A9" s="82"/>
      <c r="B9" s="92" t="s">
        <v>255</v>
      </c>
      <c r="C9" s="93">
        <v>0.115</v>
      </c>
      <c r="D9" s="93">
        <v>0.115</v>
      </c>
    </row>
    <row r="10" spans="1:4" ht="15.75">
      <c r="A10" s="82"/>
      <c r="B10" s="92" t="s">
        <v>256</v>
      </c>
      <c r="C10" s="93">
        <v>0.15</v>
      </c>
      <c r="D10" s="93">
        <v>0.15</v>
      </c>
    </row>
    <row r="11" spans="1:4">
      <c r="A11" s="94" t="s">
        <v>257</v>
      </c>
    </row>
    <row r="12" spans="1:4">
      <c r="A12" s="94" t="s">
        <v>258</v>
      </c>
    </row>
    <row r="13" spans="1:4">
      <c r="A13" s="94" t="s">
        <v>259</v>
      </c>
    </row>
    <row r="14" spans="1:4">
      <c r="A14" s="94" t="s">
        <v>260</v>
      </c>
    </row>
    <row r="15" spans="1:4">
      <c r="A15" s="94" t="s">
        <v>261</v>
      </c>
    </row>
    <row r="16" spans="1:4">
      <c r="A16" s="95" t="s">
        <v>262</v>
      </c>
    </row>
    <row r="17" spans="1:3">
      <c r="A17" s="94" t="s">
        <v>263</v>
      </c>
    </row>
    <row r="18" spans="1:3">
      <c r="A18" s="96" t="s">
        <v>245</v>
      </c>
    </row>
    <row r="19" spans="1:3" ht="38.25">
      <c r="A19" s="97" t="s">
        <v>264</v>
      </c>
      <c r="B19" s="97" t="s">
        <v>265</v>
      </c>
      <c r="C19" s="97" t="s">
        <v>266</v>
      </c>
    </row>
    <row r="20" spans="1:3">
      <c r="A20" s="98">
        <v>1</v>
      </c>
      <c r="B20" s="98" t="s">
        <v>267</v>
      </c>
      <c r="C20" s="99">
        <v>0.05</v>
      </c>
    </row>
    <row r="21" spans="1:3">
      <c r="A21" s="98">
        <v>2</v>
      </c>
      <c r="B21" s="98" t="s">
        <v>268</v>
      </c>
      <c r="C21" s="99">
        <v>0.1</v>
      </c>
    </row>
    <row r="22" spans="1:3">
      <c r="A22" s="98">
        <v>3</v>
      </c>
      <c r="B22" s="98" t="s">
        <v>269</v>
      </c>
      <c r="C22" s="99">
        <v>0.15</v>
      </c>
    </row>
  </sheetData>
  <mergeCells count="2">
    <mergeCell ref="A3:B3"/>
    <mergeCell ref="C3:D3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opLeftCell="A61" zoomScale="85" zoomScaleNormal="85" workbookViewId="0">
      <selection activeCell="B3" sqref="B3:B38"/>
    </sheetView>
  </sheetViews>
  <sheetFormatPr defaultColWidth="9" defaultRowHeight="15"/>
  <cols>
    <col min="1" max="1" width="6.140625" bestFit="1" customWidth="1"/>
    <col min="2" max="2" width="44.85546875" bestFit="1" customWidth="1"/>
    <col min="3" max="3" width="59.5703125" customWidth="1"/>
    <col min="4" max="4" width="36.7109375" bestFit="1" customWidth="1"/>
    <col min="5" max="5" width="17.85546875" customWidth="1"/>
    <col min="6" max="6" width="23" customWidth="1"/>
    <col min="7" max="7" width="19.42578125" bestFit="1" customWidth="1"/>
    <col min="8" max="8" width="15.28515625" bestFit="1" customWidth="1"/>
  </cols>
  <sheetData>
    <row r="1" spans="1:8" ht="44.1" customHeight="1">
      <c r="A1" s="333" t="s">
        <v>296</v>
      </c>
      <c r="B1" s="333"/>
      <c r="C1" s="333"/>
      <c r="D1" s="333"/>
      <c r="E1" s="333"/>
      <c r="F1" s="333"/>
    </row>
    <row r="2" spans="1:8" ht="38.1" customHeight="1">
      <c r="A2" s="191" t="s">
        <v>297</v>
      </c>
      <c r="B2" s="191" t="s">
        <v>298</v>
      </c>
      <c r="C2" s="191" t="s">
        <v>299</v>
      </c>
      <c r="D2" s="191" t="s">
        <v>118</v>
      </c>
      <c r="E2" s="191" t="s">
        <v>300</v>
      </c>
      <c r="F2" s="191" t="s">
        <v>301</v>
      </c>
    </row>
    <row r="3" spans="1:8">
      <c r="A3" s="334">
        <v>1</v>
      </c>
      <c r="B3" s="344" t="s">
        <v>302</v>
      </c>
      <c r="C3" s="334" t="s">
        <v>303</v>
      </c>
      <c r="D3" s="65" t="s">
        <v>304</v>
      </c>
      <c r="E3" s="65">
        <v>400</v>
      </c>
      <c r="F3" s="334" t="s">
        <v>305</v>
      </c>
    </row>
    <row r="4" spans="1:8">
      <c r="A4" s="334"/>
      <c r="B4" s="344"/>
      <c r="C4" s="334"/>
      <c r="D4" s="65" t="s">
        <v>306</v>
      </c>
      <c r="E4" s="65">
        <v>500</v>
      </c>
      <c r="F4" s="334"/>
    </row>
    <row r="5" spans="1:8" ht="14.1" customHeight="1">
      <c r="A5" s="334"/>
      <c r="B5" s="344"/>
      <c r="C5" s="334"/>
      <c r="D5" s="65" t="s">
        <v>307</v>
      </c>
      <c r="E5" s="65">
        <v>600</v>
      </c>
      <c r="F5" s="334"/>
    </row>
    <row r="6" spans="1:8">
      <c r="A6" s="334"/>
      <c r="B6" s="344"/>
      <c r="C6" s="334" t="s">
        <v>308</v>
      </c>
      <c r="D6" s="65" t="s">
        <v>309</v>
      </c>
      <c r="E6" s="65">
        <v>400</v>
      </c>
      <c r="F6" s="334"/>
    </row>
    <row r="7" spans="1:8">
      <c r="A7" s="334"/>
      <c r="B7" s="344"/>
      <c r="C7" s="334"/>
      <c r="D7" s="65" t="s">
        <v>310</v>
      </c>
      <c r="E7" s="65">
        <v>500</v>
      </c>
      <c r="F7" s="334"/>
    </row>
    <row r="8" spans="1:8">
      <c r="A8" s="334"/>
      <c r="B8" s="344"/>
      <c r="C8" s="334"/>
      <c r="D8" s="65" t="s">
        <v>311</v>
      </c>
      <c r="E8" s="65">
        <v>600</v>
      </c>
      <c r="F8" s="334"/>
    </row>
    <row r="9" spans="1:8">
      <c r="A9" s="334"/>
      <c r="B9" s="344"/>
      <c r="C9" s="334" t="s">
        <v>312</v>
      </c>
      <c r="D9" s="65" t="s">
        <v>313</v>
      </c>
      <c r="E9" s="65">
        <v>400</v>
      </c>
      <c r="F9" s="334"/>
    </row>
    <row r="10" spans="1:8">
      <c r="A10" s="334"/>
      <c r="B10" s="344"/>
      <c r="C10" s="334"/>
      <c r="D10" s="66" t="s">
        <v>314</v>
      </c>
      <c r="E10" s="65">
        <v>500</v>
      </c>
      <c r="F10" s="334"/>
    </row>
    <row r="11" spans="1:8">
      <c r="A11" s="334"/>
      <c r="B11" s="344"/>
      <c r="C11" s="334"/>
      <c r="D11" s="65" t="s">
        <v>315</v>
      </c>
      <c r="E11" s="65">
        <v>600</v>
      </c>
      <c r="F11" s="334"/>
    </row>
    <row r="12" spans="1:8">
      <c r="A12" s="334"/>
      <c r="B12" s="344"/>
      <c r="C12" s="65" t="s">
        <v>316</v>
      </c>
      <c r="D12" s="65" t="s">
        <v>317</v>
      </c>
      <c r="E12" s="66">
        <v>0.05</v>
      </c>
      <c r="F12" s="334" t="s">
        <v>318</v>
      </c>
      <c r="H12" s="72"/>
    </row>
    <row r="13" spans="1:8">
      <c r="A13" s="334"/>
      <c r="B13" s="344"/>
      <c r="C13" s="65"/>
      <c r="D13" s="65" t="s">
        <v>319</v>
      </c>
      <c r="E13" s="66">
        <v>0.06</v>
      </c>
      <c r="F13" s="334"/>
    </row>
    <row r="14" spans="1:8">
      <c r="A14" s="334"/>
      <c r="B14" s="344"/>
      <c r="C14" s="65"/>
      <c r="D14" s="65" t="s">
        <v>320</v>
      </c>
      <c r="E14" s="66">
        <v>7.0000000000000007E-2</v>
      </c>
      <c r="F14" s="334"/>
    </row>
    <row r="15" spans="1:8">
      <c r="A15" s="334"/>
      <c r="B15" s="344"/>
      <c r="C15" s="65" t="s">
        <v>321</v>
      </c>
      <c r="D15" s="65" t="s">
        <v>142</v>
      </c>
      <c r="E15" s="66">
        <v>0.06</v>
      </c>
      <c r="F15" s="334"/>
    </row>
    <row r="16" spans="1:8">
      <c r="A16" s="334"/>
      <c r="B16" s="344"/>
      <c r="C16" s="65"/>
      <c r="D16" s="65" t="s">
        <v>322</v>
      </c>
      <c r="E16" s="66">
        <v>7.0000000000000007E-2</v>
      </c>
      <c r="F16" s="334"/>
    </row>
    <row r="17" spans="1:6">
      <c r="A17" s="334"/>
      <c r="B17" s="344"/>
      <c r="C17" s="65"/>
      <c r="D17" s="65" t="s">
        <v>320</v>
      </c>
      <c r="E17" s="66">
        <v>0.08</v>
      </c>
      <c r="F17" s="334"/>
    </row>
    <row r="18" spans="1:6">
      <c r="A18" s="334"/>
      <c r="B18" s="344"/>
      <c r="C18" s="344" t="s">
        <v>323</v>
      </c>
      <c r="D18" s="65" t="s">
        <v>324</v>
      </c>
      <c r="E18" s="66">
        <v>0.01</v>
      </c>
      <c r="F18" s="334" t="s">
        <v>305</v>
      </c>
    </row>
    <row r="19" spans="1:6">
      <c r="A19" s="334"/>
      <c r="B19" s="344"/>
      <c r="C19" s="344"/>
      <c r="D19" s="65" t="s">
        <v>325</v>
      </c>
      <c r="E19" s="66">
        <v>0.02</v>
      </c>
      <c r="F19" s="334"/>
    </row>
    <row r="20" spans="1:6">
      <c r="A20" s="334"/>
      <c r="B20" s="344"/>
      <c r="C20" s="344"/>
      <c r="D20" s="65" t="s">
        <v>326</v>
      </c>
      <c r="E20" s="66">
        <v>0.03</v>
      </c>
      <c r="F20" s="334"/>
    </row>
    <row r="21" spans="1:6">
      <c r="A21" s="334"/>
      <c r="B21" s="344"/>
      <c r="C21" s="334" t="s">
        <v>327</v>
      </c>
      <c r="D21" s="65" t="s">
        <v>328</v>
      </c>
      <c r="E21" s="66">
        <v>0.02</v>
      </c>
      <c r="F21" s="334"/>
    </row>
    <row r="22" spans="1:6">
      <c r="A22" s="334"/>
      <c r="B22" s="344"/>
      <c r="C22" s="334"/>
      <c r="D22" s="65" t="s">
        <v>283</v>
      </c>
      <c r="E22" s="66">
        <v>0.04</v>
      </c>
      <c r="F22" s="334"/>
    </row>
    <row r="23" spans="1:6" ht="39" customHeight="1">
      <c r="A23" s="334"/>
      <c r="B23" s="344"/>
      <c r="C23" s="344" t="s">
        <v>329</v>
      </c>
      <c r="D23" s="65" t="s">
        <v>330</v>
      </c>
      <c r="E23" s="66">
        <v>0.08</v>
      </c>
      <c r="F23" s="334" t="s">
        <v>331</v>
      </c>
    </row>
    <row r="24" spans="1:6">
      <c r="A24" s="334"/>
      <c r="B24" s="344"/>
      <c r="C24" s="344"/>
      <c r="D24" s="65" t="s">
        <v>332</v>
      </c>
      <c r="E24" s="66">
        <v>0.1</v>
      </c>
      <c r="F24" s="334"/>
    </row>
    <row r="25" spans="1:6">
      <c r="A25" s="334"/>
      <c r="B25" s="344"/>
      <c r="C25" s="344"/>
      <c r="D25" s="65" t="s">
        <v>333</v>
      </c>
      <c r="E25" s="66">
        <v>0.12</v>
      </c>
      <c r="F25" s="334"/>
    </row>
    <row r="26" spans="1:6">
      <c r="A26" s="334"/>
      <c r="B26" s="344"/>
      <c r="C26" s="344"/>
      <c r="D26" s="65" t="s">
        <v>334</v>
      </c>
      <c r="E26" s="66">
        <v>0.14000000000000001</v>
      </c>
      <c r="F26" s="334"/>
    </row>
    <row r="27" spans="1:6">
      <c r="A27" s="334"/>
      <c r="B27" s="344"/>
      <c r="C27" s="344"/>
      <c r="D27" s="65" t="s">
        <v>335</v>
      </c>
      <c r="E27" s="66">
        <v>0.16</v>
      </c>
      <c r="F27" s="334"/>
    </row>
    <row r="28" spans="1:6">
      <c r="A28" s="334"/>
      <c r="B28" s="344"/>
      <c r="C28" s="344"/>
      <c r="D28" s="65" t="s">
        <v>336</v>
      </c>
      <c r="E28" s="66">
        <v>0.18</v>
      </c>
      <c r="F28" s="334"/>
    </row>
    <row r="29" spans="1:6">
      <c r="A29" s="334"/>
      <c r="B29" s="344"/>
      <c r="C29" s="344"/>
      <c r="D29" s="65" t="s">
        <v>326</v>
      </c>
      <c r="E29" s="66">
        <v>0.2</v>
      </c>
      <c r="F29" s="334"/>
    </row>
    <row r="30" spans="1:6">
      <c r="A30" s="334"/>
      <c r="B30" s="344"/>
      <c r="C30" s="344"/>
      <c r="D30" s="65" t="s">
        <v>337</v>
      </c>
      <c r="E30" s="66">
        <v>0.1</v>
      </c>
      <c r="F30" s="334"/>
    </row>
    <row r="31" spans="1:6">
      <c r="A31" s="334"/>
      <c r="B31" s="344"/>
      <c r="C31" s="344" t="s">
        <v>338</v>
      </c>
      <c r="D31" s="65" t="s">
        <v>330</v>
      </c>
      <c r="E31" s="66">
        <v>0.1</v>
      </c>
      <c r="F31" s="334"/>
    </row>
    <row r="32" spans="1:6">
      <c r="A32" s="334"/>
      <c r="B32" s="344"/>
      <c r="C32" s="344"/>
      <c r="D32" s="65" t="s">
        <v>332</v>
      </c>
      <c r="E32" s="66">
        <v>0.12</v>
      </c>
      <c r="F32" s="334"/>
    </row>
    <row r="33" spans="1:8">
      <c r="A33" s="334"/>
      <c r="B33" s="344"/>
      <c r="C33" s="344"/>
      <c r="D33" s="65" t="s">
        <v>333</v>
      </c>
      <c r="E33" s="66">
        <v>0.14000000000000001</v>
      </c>
      <c r="F33" s="334"/>
    </row>
    <row r="34" spans="1:8">
      <c r="A34" s="334"/>
      <c r="B34" s="344"/>
      <c r="C34" s="344"/>
      <c r="D34" s="65" t="s">
        <v>334</v>
      </c>
      <c r="E34" s="66">
        <v>0.16</v>
      </c>
      <c r="F34" s="334"/>
    </row>
    <row r="35" spans="1:8">
      <c r="A35" s="334"/>
      <c r="B35" s="344"/>
      <c r="C35" s="344"/>
      <c r="D35" s="65" t="s">
        <v>335</v>
      </c>
      <c r="E35" s="66">
        <v>0.18</v>
      </c>
      <c r="F35" s="334"/>
    </row>
    <row r="36" spans="1:8">
      <c r="A36" s="334"/>
      <c r="B36" s="344"/>
      <c r="C36" s="344"/>
      <c r="D36" s="65" t="s">
        <v>336</v>
      </c>
      <c r="E36" s="66">
        <v>0.2</v>
      </c>
      <c r="F36" s="334"/>
    </row>
    <row r="37" spans="1:8">
      <c r="A37" s="334"/>
      <c r="B37" s="344"/>
      <c r="C37" s="344"/>
      <c r="D37" s="65" t="s">
        <v>326</v>
      </c>
      <c r="E37" s="66">
        <v>0.23</v>
      </c>
      <c r="F37" s="334"/>
    </row>
    <row r="38" spans="1:8">
      <c r="A38" s="334"/>
      <c r="B38" s="344"/>
      <c r="C38" s="344"/>
      <c r="D38" s="65" t="s">
        <v>337</v>
      </c>
      <c r="E38" s="66">
        <v>0.12</v>
      </c>
      <c r="F38" s="334"/>
    </row>
    <row r="39" spans="1:8">
      <c r="A39" s="67">
        <v>2</v>
      </c>
      <c r="B39" s="68" t="s">
        <v>339</v>
      </c>
      <c r="C39" s="67" t="s">
        <v>340</v>
      </c>
      <c r="D39" s="67" t="s">
        <v>341</v>
      </c>
      <c r="E39" s="67">
        <v>300</v>
      </c>
      <c r="F39" s="67" t="s">
        <v>331</v>
      </c>
      <c r="G39" s="73"/>
      <c r="H39" s="73"/>
    </row>
    <row r="40" spans="1:8">
      <c r="A40" s="335">
        <v>3</v>
      </c>
      <c r="B40" s="351" t="s">
        <v>342</v>
      </c>
      <c r="C40" s="335" t="s">
        <v>343</v>
      </c>
      <c r="D40" s="69" t="s">
        <v>344</v>
      </c>
      <c r="E40" s="74">
        <v>0.1</v>
      </c>
      <c r="F40" s="335" t="s">
        <v>331</v>
      </c>
      <c r="G40" s="73"/>
      <c r="H40" s="73"/>
    </row>
    <row r="41" spans="1:8">
      <c r="A41" s="336"/>
      <c r="B41" s="352"/>
      <c r="C41" s="336"/>
      <c r="D41" s="69" t="s">
        <v>345</v>
      </c>
      <c r="E41" s="74">
        <v>0.11</v>
      </c>
      <c r="F41" s="336"/>
      <c r="G41" s="73"/>
      <c r="H41" s="73"/>
    </row>
    <row r="42" spans="1:8">
      <c r="A42" s="336"/>
      <c r="B42" s="352"/>
      <c r="C42" s="336"/>
      <c r="D42" s="69" t="s">
        <v>346</v>
      </c>
      <c r="E42" s="74">
        <v>0.12</v>
      </c>
      <c r="F42" s="336"/>
      <c r="G42" s="73"/>
      <c r="H42" s="73"/>
    </row>
    <row r="43" spans="1:8">
      <c r="A43" s="337"/>
      <c r="B43" s="353"/>
      <c r="C43" s="337"/>
      <c r="D43" s="69" t="s">
        <v>347</v>
      </c>
      <c r="E43" s="74">
        <v>0.13</v>
      </c>
      <c r="F43" s="337"/>
      <c r="G43" s="73"/>
      <c r="H43" s="73"/>
    </row>
    <row r="44" spans="1:8">
      <c r="A44" s="338">
        <v>4</v>
      </c>
      <c r="B44" s="345" t="s">
        <v>348</v>
      </c>
      <c r="C44" s="345" t="s">
        <v>349</v>
      </c>
      <c r="D44" s="188" t="s">
        <v>350</v>
      </c>
      <c r="E44" s="189">
        <v>0.06</v>
      </c>
      <c r="F44" s="362" t="s">
        <v>331</v>
      </c>
      <c r="G44" s="73"/>
      <c r="H44" s="73"/>
    </row>
    <row r="45" spans="1:8">
      <c r="A45" s="339"/>
      <c r="B45" s="346"/>
      <c r="C45" s="346"/>
      <c r="D45" s="188" t="s">
        <v>351</v>
      </c>
      <c r="E45" s="189">
        <v>7.0000000000000007E-2</v>
      </c>
      <c r="F45" s="362"/>
      <c r="G45" s="73"/>
      <c r="H45" s="73"/>
    </row>
    <row r="46" spans="1:8">
      <c r="A46" s="339"/>
      <c r="B46" s="346"/>
      <c r="C46" s="346"/>
      <c r="D46" s="189" t="s">
        <v>352</v>
      </c>
      <c r="E46" s="189">
        <v>0.1</v>
      </c>
      <c r="F46" s="362"/>
      <c r="G46" s="73"/>
      <c r="H46" s="73"/>
    </row>
    <row r="47" spans="1:8">
      <c r="A47" s="339"/>
      <c r="B47" s="346"/>
      <c r="C47" s="346"/>
      <c r="D47" s="188" t="s">
        <v>353</v>
      </c>
      <c r="E47" s="189">
        <v>0.14000000000000001</v>
      </c>
      <c r="F47" s="362"/>
      <c r="G47" s="73"/>
      <c r="H47" s="73"/>
    </row>
    <row r="48" spans="1:8">
      <c r="A48" s="339"/>
      <c r="B48" s="346"/>
      <c r="C48" s="347"/>
      <c r="D48" s="188" t="s">
        <v>354</v>
      </c>
      <c r="E48" s="189">
        <v>0.05</v>
      </c>
      <c r="F48" s="362"/>
      <c r="G48" s="73"/>
      <c r="H48" s="73"/>
    </row>
    <row r="49" spans="1:8">
      <c r="A49" s="339"/>
      <c r="B49" s="346"/>
      <c r="C49" s="345" t="s">
        <v>355</v>
      </c>
      <c r="D49" s="188" t="s">
        <v>350</v>
      </c>
      <c r="E49" s="189">
        <v>7.0000000000000007E-2</v>
      </c>
      <c r="F49" s="362"/>
      <c r="G49" s="73"/>
      <c r="H49" s="73"/>
    </row>
    <row r="50" spans="1:8">
      <c r="A50" s="339"/>
      <c r="B50" s="346"/>
      <c r="C50" s="346"/>
      <c r="D50" s="190" t="s">
        <v>356</v>
      </c>
      <c r="E50" s="189">
        <v>0.1</v>
      </c>
      <c r="F50" s="362"/>
      <c r="G50" s="73"/>
      <c r="H50" s="73"/>
    </row>
    <row r="51" spans="1:8">
      <c r="A51" s="339"/>
      <c r="B51" s="346"/>
      <c r="C51" s="346"/>
      <c r="D51" s="188" t="s">
        <v>357</v>
      </c>
      <c r="E51" s="189">
        <v>0.13</v>
      </c>
      <c r="F51" s="362"/>
      <c r="G51" s="73"/>
      <c r="H51" s="73"/>
    </row>
    <row r="52" spans="1:8">
      <c r="A52" s="339"/>
      <c r="B52" s="346"/>
      <c r="C52" s="347"/>
      <c r="D52" s="188" t="s">
        <v>354</v>
      </c>
      <c r="E52" s="189">
        <v>0.05</v>
      </c>
      <c r="F52" s="362"/>
      <c r="G52" s="73"/>
      <c r="H52" s="73"/>
    </row>
    <row r="53" spans="1:8">
      <c r="A53" s="339"/>
      <c r="B53" s="346"/>
      <c r="C53" s="345" t="s">
        <v>358</v>
      </c>
      <c r="D53" s="188" t="s">
        <v>330</v>
      </c>
      <c r="E53" s="189">
        <v>0.08</v>
      </c>
      <c r="F53" s="362"/>
      <c r="G53" s="73"/>
      <c r="H53" s="73"/>
    </row>
    <row r="54" spans="1:8">
      <c r="A54" s="339"/>
      <c r="B54" s="346"/>
      <c r="C54" s="346"/>
      <c r="D54" s="188" t="s">
        <v>359</v>
      </c>
      <c r="E54" s="189">
        <v>0.1</v>
      </c>
      <c r="F54" s="362"/>
      <c r="G54" s="73"/>
      <c r="H54" s="73"/>
    </row>
    <row r="55" spans="1:8">
      <c r="A55" s="339"/>
      <c r="B55" s="346"/>
      <c r="C55" s="346"/>
      <c r="D55" s="188" t="s">
        <v>360</v>
      </c>
      <c r="E55" s="189">
        <v>0.14000000000000001</v>
      </c>
      <c r="F55" s="362"/>
      <c r="G55" s="73"/>
      <c r="H55" s="73"/>
    </row>
    <row r="56" spans="1:8">
      <c r="A56" s="339"/>
      <c r="B56" s="346"/>
      <c r="C56" s="346"/>
      <c r="D56" s="188" t="s">
        <v>357</v>
      </c>
      <c r="E56" s="189">
        <v>0.18</v>
      </c>
      <c r="F56" s="362"/>
      <c r="G56" s="73"/>
      <c r="H56" s="73"/>
    </row>
    <row r="57" spans="1:8">
      <c r="A57" s="339"/>
      <c r="B57" s="346"/>
      <c r="C57" s="347"/>
      <c r="D57" s="188" t="s">
        <v>354</v>
      </c>
      <c r="E57" s="189">
        <v>0.05</v>
      </c>
      <c r="F57" s="362"/>
      <c r="G57" s="73"/>
      <c r="H57" s="73"/>
    </row>
    <row r="58" spans="1:8">
      <c r="A58" s="339"/>
      <c r="B58" s="346"/>
      <c r="C58" s="345" t="s">
        <v>361</v>
      </c>
      <c r="D58" s="188" t="s">
        <v>362</v>
      </c>
      <c r="E58" s="189">
        <v>0.06</v>
      </c>
      <c r="F58" s="362"/>
      <c r="G58" s="73"/>
      <c r="H58" s="73"/>
    </row>
    <row r="59" spans="1:8">
      <c r="A59" s="339"/>
      <c r="B59" s="346"/>
      <c r="C59" s="346"/>
      <c r="D59" s="188" t="s">
        <v>363</v>
      </c>
      <c r="E59" s="189">
        <v>0.08</v>
      </c>
      <c r="F59" s="362"/>
      <c r="G59" s="73"/>
      <c r="H59" s="73"/>
    </row>
    <row r="60" spans="1:8">
      <c r="A60" s="339"/>
      <c r="B60" s="346"/>
      <c r="C60" s="346"/>
      <c r="D60" s="188" t="s">
        <v>364</v>
      </c>
      <c r="E60" s="189">
        <v>0.1</v>
      </c>
      <c r="F60" s="362"/>
      <c r="G60" s="73"/>
      <c r="H60" s="73"/>
    </row>
    <row r="61" spans="1:8">
      <c r="A61" s="340"/>
      <c r="B61" s="347"/>
      <c r="C61" s="347"/>
      <c r="D61" s="188" t="s">
        <v>354</v>
      </c>
      <c r="E61" s="189">
        <v>0.05</v>
      </c>
      <c r="F61" s="362"/>
      <c r="G61" s="73"/>
      <c r="H61" s="73"/>
    </row>
    <row r="62" spans="1:8">
      <c r="A62" s="341">
        <v>5</v>
      </c>
      <c r="B62" s="354" t="s">
        <v>365</v>
      </c>
      <c r="C62" s="70" t="s">
        <v>366</v>
      </c>
      <c r="D62" s="71" t="s">
        <v>367</v>
      </c>
      <c r="E62" s="75">
        <v>0.04</v>
      </c>
      <c r="F62" s="363" t="s">
        <v>331</v>
      </c>
      <c r="G62" s="73"/>
      <c r="H62" s="73"/>
    </row>
    <row r="63" spans="1:8">
      <c r="A63" s="342"/>
      <c r="B63" s="355"/>
      <c r="C63" s="70" t="s">
        <v>368</v>
      </c>
      <c r="D63" s="71" t="s">
        <v>367</v>
      </c>
      <c r="E63" s="75">
        <v>0.05</v>
      </c>
      <c r="F63" s="363"/>
      <c r="G63" s="73"/>
      <c r="H63" s="73"/>
    </row>
    <row r="64" spans="1:8">
      <c r="A64" s="343"/>
      <c r="B64" s="356"/>
      <c r="C64" s="70" t="s">
        <v>369</v>
      </c>
      <c r="D64" s="71" t="s">
        <v>367</v>
      </c>
      <c r="E64" s="75">
        <v>7.0000000000000007E-2</v>
      </c>
      <c r="F64" s="363"/>
      <c r="G64" s="73"/>
      <c r="H64" s="73"/>
    </row>
    <row r="65" spans="1:8" ht="24" customHeight="1">
      <c r="A65" s="348">
        <v>6</v>
      </c>
      <c r="B65" s="357" t="s">
        <v>370</v>
      </c>
      <c r="C65" s="76" t="s">
        <v>299</v>
      </c>
      <c r="D65" s="76" t="s">
        <v>89</v>
      </c>
      <c r="E65" s="76" t="s">
        <v>371</v>
      </c>
      <c r="F65" s="76" t="s">
        <v>372</v>
      </c>
      <c r="G65" s="76" t="s">
        <v>373</v>
      </c>
      <c r="H65" s="76" t="s">
        <v>301</v>
      </c>
    </row>
    <row r="66" spans="1:8">
      <c r="A66" s="349"/>
      <c r="B66" s="358"/>
      <c r="C66" s="360" t="s">
        <v>303</v>
      </c>
      <c r="D66" s="77" t="s">
        <v>374</v>
      </c>
      <c r="E66" s="77">
        <v>150</v>
      </c>
      <c r="F66" s="77">
        <v>200</v>
      </c>
      <c r="G66" s="77">
        <v>250</v>
      </c>
      <c r="H66" s="348" t="s">
        <v>305</v>
      </c>
    </row>
    <row r="67" spans="1:8">
      <c r="A67" s="349"/>
      <c r="B67" s="358"/>
      <c r="C67" s="360"/>
      <c r="D67" s="77" t="s">
        <v>375</v>
      </c>
      <c r="E67" s="77">
        <v>200</v>
      </c>
      <c r="F67" s="77">
        <v>250</v>
      </c>
      <c r="G67" s="77">
        <v>300</v>
      </c>
      <c r="H67" s="349"/>
    </row>
    <row r="68" spans="1:8">
      <c r="A68" s="349"/>
      <c r="B68" s="358"/>
      <c r="C68" s="360"/>
      <c r="D68" s="77" t="s">
        <v>376</v>
      </c>
      <c r="E68" s="77">
        <v>250</v>
      </c>
      <c r="F68" s="77">
        <v>300</v>
      </c>
      <c r="G68" s="77">
        <v>400</v>
      </c>
      <c r="H68" s="349"/>
    </row>
    <row r="69" spans="1:8">
      <c r="A69" s="349"/>
      <c r="B69" s="358"/>
      <c r="C69" s="360" t="s">
        <v>308</v>
      </c>
      <c r="D69" s="78" t="s">
        <v>89</v>
      </c>
      <c r="E69" s="78" t="s">
        <v>377</v>
      </c>
      <c r="F69" s="78" t="s">
        <v>378</v>
      </c>
      <c r="G69" s="78" t="s">
        <v>379</v>
      </c>
      <c r="H69" s="349"/>
    </row>
    <row r="70" spans="1:8">
      <c r="A70" s="349"/>
      <c r="B70" s="358"/>
      <c r="C70" s="360"/>
      <c r="D70" s="77" t="s">
        <v>380</v>
      </c>
      <c r="E70" s="77">
        <v>200</v>
      </c>
      <c r="F70" s="77">
        <v>250</v>
      </c>
      <c r="G70" s="77">
        <v>300</v>
      </c>
      <c r="H70" s="349"/>
    </row>
    <row r="71" spans="1:8">
      <c r="A71" s="349"/>
      <c r="B71" s="358"/>
      <c r="C71" s="360"/>
      <c r="D71" s="77" t="s">
        <v>310</v>
      </c>
      <c r="E71" s="77">
        <v>250</v>
      </c>
      <c r="F71" s="77">
        <v>300</v>
      </c>
      <c r="G71" s="77">
        <v>350</v>
      </c>
      <c r="H71" s="349"/>
    </row>
    <row r="72" spans="1:8">
      <c r="A72" s="349"/>
      <c r="B72" s="358"/>
      <c r="C72" s="360"/>
      <c r="D72" s="77" t="s">
        <v>311</v>
      </c>
      <c r="E72" s="77">
        <v>300</v>
      </c>
      <c r="F72" s="77">
        <v>350</v>
      </c>
      <c r="G72" s="77">
        <v>450</v>
      </c>
      <c r="H72" s="349"/>
    </row>
    <row r="73" spans="1:8">
      <c r="A73" s="349"/>
      <c r="B73" s="358"/>
      <c r="C73" s="360" t="s">
        <v>312</v>
      </c>
      <c r="D73" s="78" t="s">
        <v>89</v>
      </c>
      <c r="E73" s="78" t="s">
        <v>377</v>
      </c>
      <c r="F73" s="78" t="s">
        <v>378</v>
      </c>
      <c r="G73" s="78" t="s">
        <v>379</v>
      </c>
      <c r="H73" s="349"/>
    </row>
    <row r="74" spans="1:8">
      <c r="A74" s="349"/>
      <c r="B74" s="358"/>
      <c r="C74" s="360"/>
      <c r="D74" s="77" t="s">
        <v>362</v>
      </c>
      <c r="E74" s="80">
        <v>250</v>
      </c>
      <c r="F74" s="80">
        <v>300</v>
      </c>
      <c r="G74" s="80">
        <v>350</v>
      </c>
      <c r="H74" s="349"/>
    </row>
    <row r="75" spans="1:8">
      <c r="A75" s="349"/>
      <c r="B75" s="358"/>
      <c r="C75" s="360"/>
      <c r="D75" s="79" t="s">
        <v>381</v>
      </c>
      <c r="E75" s="80">
        <v>300</v>
      </c>
      <c r="F75" s="80">
        <v>350</v>
      </c>
      <c r="G75" s="80">
        <v>400</v>
      </c>
      <c r="H75" s="349"/>
    </row>
    <row r="76" spans="1:8">
      <c r="A76" s="349"/>
      <c r="B76" s="358"/>
      <c r="C76" s="360"/>
      <c r="D76" s="77" t="s">
        <v>382</v>
      </c>
      <c r="E76" s="80">
        <v>350</v>
      </c>
      <c r="F76" s="80">
        <v>400</v>
      </c>
      <c r="G76" s="80">
        <v>500</v>
      </c>
      <c r="H76" s="350"/>
    </row>
    <row r="77" spans="1:8">
      <c r="A77" s="349"/>
      <c r="B77" s="358"/>
      <c r="C77" s="361" t="s">
        <v>383</v>
      </c>
      <c r="D77" s="78" t="s">
        <v>89</v>
      </c>
      <c r="E77" s="78" t="s">
        <v>384</v>
      </c>
      <c r="F77" s="78" t="s">
        <v>93</v>
      </c>
      <c r="G77" s="78" t="s">
        <v>385</v>
      </c>
      <c r="H77" s="348" t="s">
        <v>331</v>
      </c>
    </row>
    <row r="78" spans="1:8">
      <c r="A78" s="349"/>
      <c r="B78" s="358"/>
      <c r="C78" s="361"/>
      <c r="D78" s="77" t="s">
        <v>350</v>
      </c>
      <c r="E78" s="79">
        <v>0.1</v>
      </c>
      <c r="F78" s="79">
        <v>0.12</v>
      </c>
      <c r="G78" s="79">
        <v>0.1</v>
      </c>
      <c r="H78" s="349"/>
    </row>
    <row r="79" spans="1:8">
      <c r="A79" s="349"/>
      <c r="B79" s="358"/>
      <c r="C79" s="361"/>
      <c r="D79" s="77" t="s">
        <v>333</v>
      </c>
      <c r="E79" s="79">
        <v>0.12</v>
      </c>
      <c r="F79" s="79">
        <v>0.14000000000000001</v>
      </c>
      <c r="G79" s="79">
        <v>0.1</v>
      </c>
      <c r="H79" s="349"/>
    </row>
    <row r="80" spans="1:8">
      <c r="A80" s="349"/>
      <c r="B80" s="358"/>
      <c r="C80" s="361"/>
      <c r="D80" s="77" t="s">
        <v>334</v>
      </c>
      <c r="E80" s="79">
        <v>0.14000000000000001</v>
      </c>
      <c r="F80" s="79">
        <v>0.16</v>
      </c>
      <c r="G80" s="79">
        <v>0.1</v>
      </c>
      <c r="H80" s="349"/>
    </row>
    <row r="81" spans="1:8">
      <c r="A81" s="349"/>
      <c r="B81" s="358"/>
      <c r="C81" s="361"/>
      <c r="D81" s="77" t="s">
        <v>335</v>
      </c>
      <c r="E81" s="79">
        <v>0.16</v>
      </c>
      <c r="F81" s="79">
        <v>0.18</v>
      </c>
      <c r="G81" s="79">
        <v>0.1</v>
      </c>
      <c r="H81" s="349"/>
    </row>
    <row r="82" spans="1:8">
      <c r="A82" s="349"/>
      <c r="B82" s="358"/>
      <c r="C82" s="361"/>
      <c r="D82" s="77" t="s">
        <v>336</v>
      </c>
      <c r="E82" s="79">
        <v>0.18</v>
      </c>
      <c r="F82" s="79">
        <v>0.2</v>
      </c>
      <c r="G82" s="79">
        <v>0.1</v>
      </c>
      <c r="H82" s="349"/>
    </row>
    <row r="83" spans="1:8">
      <c r="A83" s="350"/>
      <c r="B83" s="359"/>
      <c r="C83" s="361"/>
      <c r="D83" s="77" t="s">
        <v>326</v>
      </c>
      <c r="E83" s="79">
        <v>0.2</v>
      </c>
      <c r="F83" s="79">
        <v>0.22</v>
      </c>
      <c r="G83" s="79">
        <v>0.1</v>
      </c>
      <c r="H83" s="350"/>
    </row>
  </sheetData>
  <mergeCells count="36">
    <mergeCell ref="F44:F61"/>
    <mergeCell ref="F62:F64"/>
    <mergeCell ref="H66:H76"/>
    <mergeCell ref="H77:H83"/>
    <mergeCell ref="F3:F11"/>
    <mergeCell ref="F12:F17"/>
    <mergeCell ref="F18:F22"/>
    <mergeCell ref="F23:F38"/>
    <mergeCell ref="F40:F43"/>
    <mergeCell ref="C58:C61"/>
    <mergeCell ref="C66:C68"/>
    <mergeCell ref="C69:C72"/>
    <mergeCell ref="C73:C76"/>
    <mergeCell ref="C77:C83"/>
    <mergeCell ref="A65:A83"/>
    <mergeCell ref="B3:B38"/>
    <mergeCell ref="B40:B43"/>
    <mergeCell ref="B44:B61"/>
    <mergeCell ref="B62:B64"/>
    <mergeCell ref="B65:B83"/>
    <mergeCell ref="A1:F1"/>
    <mergeCell ref="A3:A38"/>
    <mergeCell ref="A40:A43"/>
    <mergeCell ref="A44:A61"/>
    <mergeCell ref="A62:A64"/>
    <mergeCell ref="C3:C5"/>
    <mergeCell ref="C6:C8"/>
    <mergeCell ref="C9:C11"/>
    <mergeCell ref="C18:C20"/>
    <mergeCell ref="C21:C22"/>
    <mergeCell ref="C23:C30"/>
    <mergeCell ref="C31:C38"/>
    <mergeCell ref="C40:C43"/>
    <mergeCell ref="C44:C48"/>
    <mergeCell ref="C49:C52"/>
    <mergeCell ref="C53:C57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7"/>
  <sheetViews>
    <sheetView tabSelected="1" topLeftCell="C21" workbookViewId="0">
      <selection activeCell="F21" sqref="F21"/>
    </sheetView>
  </sheetViews>
  <sheetFormatPr defaultColWidth="9" defaultRowHeight="15"/>
  <cols>
    <col min="1" max="1" width="29.7109375" customWidth="1"/>
    <col min="2" max="2" width="17.28515625" customWidth="1"/>
    <col min="3" max="3" width="15" customWidth="1"/>
    <col min="4" max="4" width="15.42578125" customWidth="1"/>
    <col min="5" max="5" width="26.140625" bestFit="1" customWidth="1"/>
    <col min="6" max="6" width="12.42578125" bestFit="1" customWidth="1"/>
    <col min="7" max="7" width="11.5703125" bestFit="1" customWidth="1"/>
    <col min="8" max="8" width="13.5703125" bestFit="1" customWidth="1"/>
    <col min="9" max="9" width="12.140625" bestFit="1" customWidth="1"/>
    <col min="10" max="10" width="11" bestFit="1" customWidth="1"/>
    <col min="11" max="11" width="20.85546875" bestFit="1" customWidth="1"/>
    <col min="12" max="13" width="12.42578125" bestFit="1" customWidth="1"/>
    <col min="14" max="14" width="11.5703125" bestFit="1" customWidth="1"/>
    <col min="25" max="25" width="11.85546875" customWidth="1"/>
  </cols>
  <sheetData>
    <row r="1" spans="1:14">
      <c r="A1" s="1" t="s">
        <v>386</v>
      </c>
      <c r="B1" s="2"/>
      <c r="C1" s="2"/>
      <c r="D1" s="2"/>
      <c r="E1" s="2"/>
      <c r="F1" s="2"/>
      <c r="G1" s="20"/>
      <c r="H1" s="1" t="s">
        <v>387</v>
      </c>
      <c r="I1" s="2"/>
      <c r="J1" s="2"/>
      <c r="K1" s="2"/>
      <c r="L1" s="2"/>
      <c r="M1" s="2"/>
      <c r="N1" s="20"/>
    </row>
    <row r="2" spans="1:14">
      <c r="A2" s="3" t="s">
        <v>2</v>
      </c>
      <c r="B2" s="3"/>
      <c r="C2" s="1" t="s">
        <v>3</v>
      </c>
      <c r="D2" s="2"/>
      <c r="E2" s="2"/>
      <c r="F2" s="2"/>
      <c r="G2" s="20"/>
      <c r="H2" s="3" t="s">
        <v>2</v>
      </c>
      <c r="I2" s="3"/>
      <c r="J2" s="1" t="s">
        <v>3</v>
      </c>
      <c r="K2" s="2"/>
      <c r="L2" s="2"/>
      <c r="M2" s="2"/>
      <c r="N2" s="2"/>
    </row>
    <row r="3" spans="1:14">
      <c r="A3" s="4" t="s">
        <v>4</v>
      </c>
      <c r="B3" s="4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4" t="s">
        <v>4</v>
      </c>
      <c r="I3" s="4" t="s">
        <v>5</v>
      </c>
      <c r="J3" s="3" t="s">
        <v>11</v>
      </c>
      <c r="K3" s="3" t="s">
        <v>12</v>
      </c>
      <c r="L3" s="3" t="s">
        <v>7</v>
      </c>
      <c r="M3" s="3" t="s">
        <v>8</v>
      </c>
      <c r="N3" s="3" t="s">
        <v>13</v>
      </c>
    </row>
    <row r="4" spans="1:14">
      <c r="A4" s="5">
        <v>0</v>
      </c>
      <c r="B4" s="5">
        <v>0.6</v>
      </c>
      <c r="C4" s="6">
        <v>0.05</v>
      </c>
      <c r="D4" s="6">
        <v>6.5000000000000002E-2</v>
      </c>
      <c r="E4" s="6">
        <v>0.08</v>
      </c>
      <c r="F4" s="6">
        <v>9.5000000000000001E-2</v>
      </c>
      <c r="G4" s="6">
        <v>0.11</v>
      </c>
      <c r="H4" s="5">
        <v>0</v>
      </c>
      <c r="I4" s="5">
        <v>0.4</v>
      </c>
      <c r="J4" s="6">
        <v>0.05</v>
      </c>
      <c r="K4" s="6">
        <v>6.5000000000000002E-2</v>
      </c>
      <c r="L4" s="6">
        <v>0.08</v>
      </c>
      <c r="M4" s="6">
        <v>0.1</v>
      </c>
      <c r="N4" s="6">
        <v>0.12</v>
      </c>
    </row>
    <row r="5" spans="1:14">
      <c r="A5" s="5">
        <v>0.6</v>
      </c>
      <c r="B5" s="5">
        <v>0.75</v>
      </c>
      <c r="C5" s="6">
        <v>7.4999999999999997E-2</v>
      </c>
      <c r="D5" s="6">
        <v>0.09</v>
      </c>
      <c r="E5" s="6">
        <v>0.105</v>
      </c>
      <c r="F5" s="6">
        <v>0.12</v>
      </c>
      <c r="G5" s="6">
        <v>0.13500000000000001</v>
      </c>
      <c r="H5" s="5">
        <v>0.4</v>
      </c>
      <c r="I5" s="5">
        <v>0.45</v>
      </c>
      <c r="J5" s="6">
        <v>0.06</v>
      </c>
      <c r="K5" s="6">
        <v>7.4999999999999997E-2</v>
      </c>
      <c r="L5" s="6">
        <v>0.09</v>
      </c>
      <c r="M5" s="6">
        <v>0.105</v>
      </c>
      <c r="N5" s="6">
        <v>0.12</v>
      </c>
    </row>
    <row r="6" spans="1:14">
      <c r="A6" s="5">
        <v>0.75</v>
      </c>
      <c r="B6" s="5">
        <v>0.8</v>
      </c>
      <c r="C6" s="6">
        <v>8.5000000000000006E-2</v>
      </c>
      <c r="D6" s="6">
        <v>0.1</v>
      </c>
      <c r="E6" s="6">
        <v>0.115</v>
      </c>
      <c r="F6" s="6">
        <v>0.13</v>
      </c>
      <c r="G6" s="6" t="s">
        <v>388</v>
      </c>
      <c r="H6" s="5">
        <v>0.45</v>
      </c>
      <c r="I6" s="5">
        <v>0.5</v>
      </c>
      <c r="J6" s="6">
        <v>9.5000000000000001E-2</v>
      </c>
      <c r="K6" s="6">
        <v>0.11</v>
      </c>
      <c r="L6" s="6">
        <v>0.125</v>
      </c>
      <c r="M6" s="6">
        <v>0.14000000000000001</v>
      </c>
      <c r="N6" s="6">
        <v>0.155</v>
      </c>
    </row>
    <row r="7" spans="1:14">
      <c r="A7" s="5">
        <v>0.8</v>
      </c>
      <c r="B7" s="5">
        <v>0.85</v>
      </c>
      <c r="C7" s="6">
        <v>0.11</v>
      </c>
      <c r="D7" s="6">
        <v>0.125</v>
      </c>
      <c r="E7" s="6">
        <v>0.14000000000000001</v>
      </c>
      <c r="F7" s="6">
        <v>0.155</v>
      </c>
      <c r="G7" s="6">
        <v>0.17</v>
      </c>
      <c r="H7" s="5">
        <v>0.5</v>
      </c>
      <c r="I7" s="5">
        <v>0.55000000000000004</v>
      </c>
      <c r="J7" s="6">
        <v>0.11</v>
      </c>
      <c r="K7" s="6">
        <f>J7+1%</f>
        <v>0.12</v>
      </c>
      <c r="L7" s="6">
        <v>0.14499999999999999</v>
      </c>
      <c r="M7" s="6">
        <v>0.16</v>
      </c>
      <c r="N7" s="6">
        <v>0.17499999999999999</v>
      </c>
    </row>
    <row r="8" spans="1:14">
      <c r="A8" s="5">
        <v>0.85</v>
      </c>
      <c r="B8" s="5">
        <v>0.87</v>
      </c>
      <c r="C8" s="6">
        <v>0.14000000000000001</v>
      </c>
      <c r="D8" s="6">
        <v>0.14499999999999999</v>
      </c>
      <c r="E8" s="6">
        <v>0.15</v>
      </c>
      <c r="F8" s="6">
        <v>0.16500000000000001</v>
      </c>
      <c r="G8" s="6">
        <v>0.18</v>
      </c>
      <c r="H8" s="5">
        <v>0.55000000000000004</v>
      </c>
      <c r="I8" s="5">
        <v>0.6</v>
      </c>
      <c r="J8" s="6">
        <v>0.15</v>
      </c>
      <c r="K8" s="6">
        <f>J8+1%</f>
        <v>0.16</v>
      </c>
      <c r="L8" s="6">
        <v>0.18</v>
      </c>
      <c r="M8" s="6">
        <v>0.2</v>
      </c>
      <c r="N8" s="6">
        <v>0.22</v>
      </c>
    </row>
    <row r="9" spans="1:14">
      <c r="A9" s="7">
        <v>0.87</v>
      </c>
      <c r="B9" s="7">
        <v>0.9</v>
      </c>
      <c r="C9" s="6">
        <v>0.16</v>
      </c>
      <c r="D9" s="6">
        <v>0.16500000000000001</v>
      </c>
      <c r="E9" s="6">
        <v>0.17</v>
      </c>
      <c r="F9" s="6">
        <v>0.185</v>
      </c>
      <c r="G9" s="6">
        <v>0.2</v>
      </c>
      <c r="H9" s="21" t="s">
        <v>14</v>
      </c>
      <c r="I9" s="24"/>
      <c r="J9" s="6">
        <v>0.17</v>
      </c>
      <c r="K9" s="6">
        <f>J9+1%</f>
        <v>0.18000000000000002</v>
      </c>
      <c r="L9" s="6">
        <v>0.21</v>
      </c>
      <c r="M9" s="6">
        <v>0.23</v>
      </c>
      <c r="N9" s="6">
        <v>0.25</v>
      </c>
    </row>
    <row r="10" spans="1:14">
      <c r="A10" s="8" t="s">
        <v>15</v>
      </c>
      <c r="B10" s="8"/>
      <c r="C10" s="9">
        <v>0.18</v>
      </c>
      <c r="D10" s="6">
        <v>0.185</v>
      </c>
      <c r="E10" s="6">
        <v>0.19</v>
      </c>
      <c r="F10" s="6">
        <v>0.20499999999999999</v>
      </c>
      <c r="G10" s="6">
        <v>0.22</v>
      </c>
      <c r="H10" s="22"/>
      <c r="I10" s="22"/>
      <c r="J10" s="22"/>
      <c r="K10" s="22"/>
      <c r="L10" s="22"/>
      <c r="M10" s="22"/>
      <c r="N10" s="22"/>
    </row>
    <row r="11" spans="1:14">
      <c r="A11" s="1" t="s">
        <v>389</v>
      </c>
      <c r="B11" s="2"/>
      <c r="C11" s="2"/>
      <c r="D11" s="2"/>
      <c r="E11" s="2"/>
      <c r="F11" s="2"/>
      <c r="G11" s="20"/>
      <c r="H11" s="1" t="s">
        <v>390</v>
      </c>
      <c r="I11" s="2"/>
      <c r="J11" s="2"/>
      <c r="K11" s="2"/>
      <c r="L11" s="2"/>
      <c r="M11" s="2"/>
      <c r="N11" s="20"/>
    </row>
    <row r="12" spans="1:14">
      <c r="A12" s="3" t="s">
        <v>2</v>
      </c>
      <c r="B12" s="3"/>
      <c r="C12" s="1" t="s">
        <v>18</v>
      </c>
      <c r="D12" s="2"/>
      <c r="E12" s="2"/>
      <c r="F12" s="2"/>
      <c r="G12" s="20"/>
      <c r="H12" s="3" t="s">
        <v>2</v>
      </c>
      <c r="I12" s="3"/>
      <c r="J12" s="1" t="s">
        <v>3</v>
      </c>
      <c r="K12" s="2"/>
      <c r="L12" s="2"/>
      <c r="M12" s="2"/>
      <c r="N12" s="20"/>
    </row>
    <row r="13" spans="1:14">
      <c r="A13" s="4" t="s">
        <v>4</v>
      </c>
      <c r="B13" s="4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10</v>
      </c>
      <c r="H13" s="4" t="s">
        <v>4</v>
      </c>
      <c r="I13" s="4" t="s">
        <v>5</v>
      </c>
      <c r="J13" s="3" t="s">
        <v>19</v>
      </c>
      <c r="K13" s="3" t="s">
        <v>20</v>
      </c>
      <c r="L13" s="3" t="s">
        <v>21</v>
      </c>
      <c r="M13" s="3" t="s">
        <v>22</v>
      </c>
      <c r="N13" s="3" t="s">
        <v>23</v>
      </c>
    </row>
    <row r="14" spans="1:14">
      <c r="A14" s="5">
        <v>0</v>
      </c>
      <c r="B14" s="5">
        <v>0.65</v>
      </c>
      <c r="C14" s="6">
        <v>0.1</v>
      </c>
      <c r="D14" s="6">
        <v>0.11</v>
      </c>
      <c r="E14" s="6">
        <v>0.12</v>
      </c>
      <c r="F14" s="6">
        <v>0.13</v>
      </c>
      <c r="G14" s="6">
        <v>0.14000000000000001</v>
      </c>
      <c r="H14" s="5">
        <v>0</v>
      </c>
      <c r="I14" s="5">
        <v>0.25</v>
      </c>
      <c r="J14" s="6">
        <v>0.12</v>
      </c>
      <c r="K14" s="6">
        <v>0.13</v>
      </c>
      <c r="L14" s="6">
        <v>0.14000000000000001</v>
      </c>
      <c r="M14" s="6">
        <v>0.15</v>
      </c>
      <c r="N14" s="6">
        <v>0.16</v>
      </c>
    </row>
    <row r="15" spans="1:14">
      <c r="A15" s="5">
        <v>0.65</v>
      </c>
      <c r="B15" s="5">
        <v>0.7</v>
      </c>
      <c r="C15" s="6">
        <v>0.11</v>
      </c>
      <c r="D15" s="6">
        <v>0.12</v>
      </c>
      <c r="E15" s="6">
        <v>0.13</v>
      </c>
      <c r="F15" s="6">
        <v>0.14000000000000001</v>
      </c>
      <c r="G15" s="6">
        <v>0.15</v>
      </c>
      <c r="H15" s="5">
        <v>0.25</v>
      </c>
      <c r="I15" s="5">
        <v>0.3</v>
      </c>
      <c r="J15" s="6">
        <v>0.13</v>
      </c>
      <c r="K15" s="6">
        <v>0.14000000000000001</v>
      </c>
      <c r="L15" s="6">
        <v>0.15</v>
      </c>
      <c r="M15" s="6">
        <v>0.16</v>
      </c>
      <c r="N15" s="6">
        <v>0.17</v>
      </c>
    </row>
    <row r="16" spans="1:14">
      <c r="A16" s="5">
        <v>0.7</v>
      </c>
      <c r="B16" s="5">
        <v>0.75</v>
      </c>
      <c r="C16" s="6">
        <v>0.13500000000000001</v>
      </c>
      <c r="D16" s="6">
        <v>0.14499999999999999</v>
      </c>
      <c r="E16" s="6">
        <v>0.155</v>
      </c>
      <c r="F16" s="6">
        <v>0.16500000000000001</v>
      </c>
      <c r="G16" s="6">
        <v>0.17499999999999999</v>
      </c>
      <c r="H16" s="5">
        <v>0.3</v>
      </c>
      <c r="I16" s="5">
        <v>0.35</v>
      </c>
      <c r="J16" s="6">
        <v>0.155</v>
      </c>
      <c r="K16" s="6">
        <v>0.16500000000000001</v>
      </c>
      <c r="L16" s="6">
        <v>0.17499999999999999</v>
      </c>
      <c r="M16" s="6">
        <v>0.185</v>
      </c>
      <c r="N16" s="6">
        <v>0.19500000000000001</v>
      </c>
    </row>
    <row r="17" spans="1:14">
      <c r="A17" s="5">
        <v>0.75</v>
      </c>
      <c r="B17" s="5">
        <v>0.8</v>
      </c>
      <c r="C17" s="6">
        <v>0.14499999999999999</v>
      </c>
      <c r="D17" s="6">
        <v>0.155</v>
      </c>
      <c r="E17" s="6">
        <v>0.16500000000000001</v>
      </c>
      <c r="F17" s="6">
        <v>0.17499999999999999</v>
      </c>
      <c r="G17" s="6">
        <v>0.185</v>
      </c>
      <c r="H17" s="5">
        <v>0.35</v>
      </c>
      <c r="I17" s="5">
        <v>0.4</v>
      </c>
      <c r="J17" s="6">
        <v>0.16500000000000001</v>
      </c>
      <c r="K17" s="6">
        <v>0.17499999999999999</v>
      </c>
      <c r="L17" s="6">
        <v>0.185</v>
      </c>
      <c r="M17" s="6">
        <v>0.19500000000000001</v>
      </c>
      <c r="N17" s="6">
        <v>0.20499999999999999</v>
      </c>
    </row>
    <row r="18" spans="1:14">
      <c r="A18" s="5">
        <v>0.8</v>
      </c>
      <c r="B18" s="5">
        <v>0.85</v>
      </c>
      <c r="C18" s="6">
        <v>0.16500000000000001</v>
      </c>
      <c r="D18" s="6">
        <v>0.17499999999999999</v>
      </c>
      <c r="E18" s="6">
        <v>0.185</v>
      </c>
      <c r="F18" s="6">
        <v>0.19500000000000001</v>
      </c>
      <c r="G18" s="6">
        <v>0.20499999999999999</v>
      </c>
      <c r="H18" s="5">
        <v>0.4</v>
      </c>
      <c r="I18" s="5">
        <v>0.45</v>
      </c>
      <c r="J18" s="6">
        <v>0.185</v>
      </c>
      <c r="K18" s="6">
        <v>0.19500000000000001</v>
      </c>
      <c r="L18" s="6">
        <v>0.20499999999999999</v>
      </c>
      <c r="M18" s="6">
        <v>0.215</v>
      </c>
      <c r="N18" s="6">
        <v>0.22500000000000001</v>
      </c>
    </row>
    <row r="19" spans="1:14">
      <c r="A19" s="5">
        <v>0.85</v>
      </c>
      <c r="B19" s="5">
        <v>0.9</v>
      </c>
      <c r="C19" s="6">
        <v>0.19500000000000001</v>
      </c>
      <c r="D19" s="6">
        <v>0.20499999999999999</v>
      </c>
      <c r="E19" s="6">
        <v>0.215</v>
      </c>
      <c r="F19" s="6">
        <v>0.22500000000000001</v>
      </c>
      <c r="G19" s="6">
        <v>0.23499999999999999</v>
      </c>
      <c r="H19" s="5">
        <v>0.45</v>
      </c>
      <c r="I19" s="5">
        <v>0.5</v>
      </c>
      <c r="J19" s="6">
        <v>0.215</v>
      </c>
      <c r="K19" s="6">
        <v>0.22500000000000001</v>
      </c>
      <c r="L19" s="6">
        <v>0.23499999999999999</v>
      </c>
      <c r="M19" s="6">
        <v>0.245</v>
      </c>
      <c r="N19" s="6">
        <v>0.255</v>
      </c>
    </row>
    <row r="20" spans="1:14">
      <c r="A20" s="5">
        <v>0.9</v>
      </c>
      <c r="B20" s="5">
        <v>1</v>
      </c>
      <c r="C20" s="6">
        <v>0.21</v>
      </c>
      <c r="D20" s="6">
        <v>0.22</v>
      </c>
      <c r="E20" s="6">
        <v>0.23</v>
      </c>
      <c r="F20" s="6">
        <v>0.24</v>
      </c>
      <c r="G20" s="6">
        <v>0.25</v>
      </c>
      <c r="H20" s="5">
        <v>0.5</v>
      </c>
      <c r="I20" s="5">
        <v>1</v>
      </c>
      <c r="J20" s="6">
        <v>0.23</v>
      </c>
      <c r="K20" s="6">
        <v>0.24</v>
      </c>
      <c r="L20" s="6">
        <v>0.25</v>
      </c>
      <c r="M20" s="6">
        <v>0.26</v>
      </c>
      <c r="N20" s="6">
        <v>0.27</v>
      </c>
    </row>
    <row r="21" spans="1:14">
      <c r="A21" s="1" t="s">
        <v>391</v>
      </c>
      <c r="B21" s="2"/>
      <c r="C21" s="2"/>
      <c r="D21" s="2"/>
      <c r="E21" s="2"/>
      <c r="F21" s="2"/>
      <c r="G21" s="20"/>
      <c r="H21" s="1" t="s">
        <v>392</v>
      </c>
      <c r="I21" s="2"/>
      <c r="J21" s="2"/>
      <c r="K21" s="2"/>
      <c r="L21" s="2"/>
      <c r="M21" s="2"/>
      <c r="N21" s="20"/>
    </row>
    <row r="22" spans="1:14">
      <c r="A22" s="3" t="s">
        <v>2</v>
      </c>
      <c r="B22" s="3"/>
      <c r="C22" s="1" t="s">
        <v>18</v>
      </c>
      <c r="D22" s="2"/>
      <c r="E22" s="2"/>
      <c r="F22" s="2"/>
      <c r="G22" s="20"/>
      <c r="H22" s="3" t="s">
        <v>2</v>
      </c>
      <c r="I22" s="3"/>
      <c r="J22" s="1" t="s">
        <v>26</v>
      </c>
      <c r="K22" s="2"/>
      <c r="L22" s="2"/>
      <c r="M22" s="2"/>
      <c r="N22" s="20"/>
    </row>
    <row r="23" spans="1:14">
      <c r="A23" s="4" t="s">
        <v>4</v>
      </c>
      <c r="B23" s="4" t="s">
        <v>5</v>
      </c>
      <c r="C23" s="3" t="s">
        <v>27</v>
      </c>
      <c r="D23" s="3" t="s">
        <v>28</v>
      </c>
      <c r="E23" s="3" t="s">
        <v>29</v>
      </c>
      <c r="F23" s="3" t="s">
        <v>12</v>
      </c>
      <c r="G23" s="3" t="s">
        <v>30</v>
      </c>
      <c r="H23" s="4" t="s">
        <v>4</v>
      </c>
      <c r="I23" s="4" t="s">
        <v>5</v>
      </c>
      <c r="J23" s="3" t="s">
        <v>6</v>
      </c>
      <c r="K23" s="3" t="s">
        <v>7</v>
      </c>
      <c r="L23" s="3" t="s">
        <v>8</v>
      </c>
      <c r="M23" s="3" t="s">
        <v>9</v>
      </c>
      <c r="N23" s="3" t="s">
        <v>10</v>
      </c>
    </row>
    <row r="24" spans="1:14">
      <c r="A24" s="5">
        <v>0</v>
      </c>
      <c r="B24" s="5">
        <v>0.55000000000000004</v>
      </c>
      <c r="C24" s="6">
        <v>0.13</v>
      </c>
      <c r="D24" s="6">
        <v>0.14000000000000001</v>
      </c>
      <c r="E24" s="6">
        <v>0.15</v>
      </c>
      <c r="F24" s="6">
        <v>0.16</v>
      </c>
      <c r="G24" s="6">
        <v>0.17</v>
      </c>
      <c r="H24" s="5">
        <v>0</v>
      </c>
      <c r="I24" s="5">
        <v>0.2</v>
      </c>
      <c r="J24" s="6">
        <v>0.14000000000000001</v>
      </c>
      <c r="K24" s="6">
        <v>0.15</v>
      </c>
      <c r="L24" s="6">
        <v>0.16</v>
      </c>
      <c r="M24" s="6">
        <v>0.17</v>
      </c>
      <c r="N24" s="6">
        <v>0.18</v>
      </c>
    </row>
    <row r="25" spans="1:14">
      <c r="A25" s="5">
        <v>0.55000000000000004</v>
      </c>
      <c r="B25" s="5">
        <v>0.57999999999999996</v>
      </c>
      <c r="C25" s="6">
        <v>0.14000000000000001</v>
      </c>
      <c r="D25" s="6">
        <v>0.15</v>
      </c>
      <c r="E25" s="6">
        <v>0.16</v>
      </c>
      <c r="F25" s="6">
        <v>0.17</v>
      </c>
      <c r="G25" s="6">
        <v>0.18</v>
      </c>
      <c r="H25" s="5">
        <v>0.2</v>
      </c>
      <c r="I25" s="5">
        <v>0.25</v>
      </c>
      <c r="J25" s="6">
        <v>0.15</v>
      </c>
      <c r="K25" s="6">
        <v>0.16</v>
      </c>
      <c r="L25" s="6">
        <v>0.17</v>
      </c>
      <c r="M25" s="6">
        <v>0.18</v>
      </c>
      <c r="N25" s="6">
        <v>0.19</v>
      </c>
    </row>
    <row r="26" spans="1:14">
      <c r="A26" s="5">
        <v>0.57999999999999996</v>
      </c>
      <c r="B26" s="5">
        <v>0.61</v>
      </c>
      <c r="C26" s="6">
        <v>0.16500000000000001</v>
      </c>
      <c r="D26" s="6">
        <v>0.17499999999999999</v>
      </c>
      <c r="E26" s="6">
        <v>0.185</v>
      </c>
      <c r="F26" s="6">
        <v>0.19500000000000001</v>
      </c>
      <c r="G26" s="6">
        <v>0.20499999999999999</v>
      </c>
      <c r="H26" s="5">
        <v>0.25</v>
      </c>
      <c r="I26" s="5">
        <v>0.3</v>
      </c>
      <c r="J26" s="6">
        <v>0.17499999999999999</v>
      </c>
      <c r="K26" s="6">
        <v>0.185</v>
      </c>
      <c r="L26" s="6">
        <v>0.19500000000000001</v>
      </c>
      <c r="M26" s="6">
        <v>0.20499999999999999</v>
      </c>
      <c r="N26" s="6">
        <v>0.215</v>
      </c>
    </row>
    <row r="27" spans="1:14">
      <c r="A27" s="5">
        <v>0.61</v>
      </c>
      <c r="B27" s="5">
        <v>0.64</v>
      </c>
      <c r="C27" s="6">
        <v>0.17499999999999999</v>
      </c>
      <c r="D27" s="6">
        <v>0.185</v>
      </c>
      <c r="E27" s="6">
        <v>0.19500000000000001</v>
      </c>
      <c r="F27" s="6">
        <v>0.20499999999999999</v>
      </c>
      <c r="G27" s="6">
        <v>0.215</v>
      </c>
      <c r="H27" s="5">
        <v>0.3</v>
      </c>
      <c r="I27" s="5">
        <v>0.35</v>
      </c>
      <c r="J27" s="6">
        <v>0.185</v>
      </c>
      <c r="K27" s="6">
        <v>0.19500000000000001</v>
      </c>
      <c r="L27" s="6">
        <v>0.20499999999999999</v>
      </c>
      <c r="M27" s="6">
        <v>0.215</v>
      </c>
      <c r="N27" s="6">
        <v>0.22500000000000001</v>
      </c>
    </row>
    <row r="28" spans="1:14">
      <c r="A28" s="5">
        <v>0.64</v>
      </c>
      <c r="B28" s="5">
        <v>0.67</v>
      </c>
      <c r="C28" s="6">
        <v>0.19500000000000001</v>
      </c>
      <c r="D28" s="6">
        <v>0.20499999999999999</v>
      </c>
      <c r="E28" s="6">
        <v>0.215</v>
      </c>
      <c r="F28" s="6">
        <v>0.22500000000000001</v>
      </c>
      <c r="G28" s="6">
        <v>0.23499999999999999</v>
      </c>
      <c r="H28" s="5">
        <v>0.35</v>
      </c>
      <c r="I28" s="5">
        <v>0.4</v>
      </c>
      <c r="J28" s="6">
        <v>0.20499999999999999</v>
      </c>
      <c r="K28" s="6">
        <v>0.215</v>
      </c>
      <c r="L28" s="6">
        <v>0.22500000000000001</v>
      </c>
      <c r="M28" s="6">
        <v>0.23499999999999999</v>
      </c>
      <c r="N28" s="6">
        <v>0.245</v>
      </c>
    </row>
    <row r="29" spans="1:14">
      <c r="A29" s="5">
        <v>0.67</v>
      </c>
      <c r="B29" s="5">
        <v>0.7</v>
      </c>
      <c r="C29" s="6">
        <v>0.22500000000000001</v>
      </c>
      <c r="D29" s="6">
        <v>0.23499999999999999</v>
      </c>
      <c r="E29" s="6">
        <v>0.245</v>
      </c>
      <c r="F29" s="6">
        <v>0.255</v>
      </c>
      <c r="G29" s="6">
        <v>0.26500000000000001</v>
      </c>
      <c r="H29" s="5">
        <v>0.4</v>
      </c>
      <c r="I29" s="5">
        <v>0.45</v>
      </c>
      <c r="J29" s="6">
        <v>0.23499999999999999</v>
      </c>
      <c r="K29" s="6">
        <v>0.245</v>
      </c>
      <c r="L29" s="6">
        <v>0.255</v>
      </c>
      <c r="M29" s="6">
        <v>0.26500000000000001</v>
      </c>
      <c r="N29" s="6">
        <v>0.27500000000000002</v>
      </c>
    </row>
    <row r="30" spans="1:14">
      <c r="A30" s="5">
        <v>0.7</v>
      </c>
      <c r="B30" s="5">
        <v>1</v>
      </c>
      <c r="C30" s="6">
        <v>0.20499999999999999</v>
      </c>
      <c r="D30" s="6">
        <v>0.215</v>
      </c>
      <c r="E30" s="6">
        <v>0.22500000000000001</v>
      </c>
      <c r="F30" s="6">
        <v>0.23499999999999999</v>
      </c>
      <c r="G30" s="6">
        <v>0.245</v>
      </c>
      <c r="H30" s="5">
        <v>0.45</v>
      </c>
      <c r="I30" s="5">
        <v>1</v>
      </c>
      <c r="J30" s="6">
        <v>0.22500000000000001</v>
      </c>
      <c r="K30" s="6">
        <v>0.23499999999999999</v>
      </c>
      <c r="L30" s="6">
        <v>0.245</v>
      </c>
      <c r="M30" s="6">
        <v>0.255</v>
      </c>
      <c r="N30" s="6">
        <v>0.26500000000000001</v>
      </c>
    </row>
    <row r="31" spans="1:14">
      <c r="A31" s="1" t="s">
        <v>393</v>
      </c>
      <c r="B31" s="2"/>
      <c r="C31" s="2"/>
      <c r="D31" s="2"/>
      <c r="E31" s="2"/>
      <c r="F31" s="2"/>
      <c r="G31" s="20"/>
      <c r="H31" s="364" t="s">
        <v>34</v>
      </c>
      <c r="I31" s="365"/>
      <c r="J31" s="365"/>
      <c r="K31" s="365"/>
      <c r="L31" s="365"/>
      <c r="M31" s="365"/>
      <c r="N31" s="366"/>
    </row>
    <row r="32" spans="1:14">
      <c r="A32" s="367" t="s">
        <v>2</v>
      </c>
      <c r="B32" s="367"/>
      <c r="C32" s="1" t="s">
        <v>18</v>
      </c>
      <c r="D32" s="2"/>
      <c r="E32" s="2"/>
      <c r="F32" s="2"/>
      <c r="G32" s="20"/>
      <c r="H32" s="367" t="s">
        <v>2</v>
      </c>
      <c r="I32" s="367"/>
      <c r="J32" s="364" t="s">
        <v>18</v>
      </c>
      <c r="K32" s="365"/>
      <c r="L32" s="365"/>
      <c r="M32" s="365"/>
      <c r="N32" s="366"/>
    </row>
    <row r="33" spans="1:14">
      <c r="A33" s="4" t="s">
        <v>4</v>
      </c>
      <c r="B33" s="4" t="s">
        <v>5</v>
      </c>
      <c r="C33" s="3" t="s">
        <v>11</v>
      </c>
      <c r="D33" s="3" t="s">
        <v>12</v>
      </c>
      <c r="E33" s="3" t="s">
        <v>32</v>
      </c>
      <c r="F33" s="3" t="s">
        <v>7</v>
      </c>
      <c r="G33" s="3" t="s">
        <v>33</v>
      </c>
      <c r="H33" s="4" t="s">
        <v>4</v>
      </c>
      <c r="I33" s="4" t="s">
        <v>5</v>
      </c>
      <c r="J33" s="3" t="s">
        <v>11</v>
      </c>
      <c r="K33" s="3" t="s">
        <v>12</v>
      </c>
      <c r="L33" s="3" t="s">
        <v>32</v>
      </c>
      <c r="M33" s="3" t="s">
        <v>7</v>
      </c>
      <c r="N33" s="3" t="s">
        <v>33</v>
      </c>
    </row>
    <row r="34" spans="1:14">
      <c r="A34" s="5">
        <v>0</v>
      </c>
      <c r="B34" s="5">
        <v>0.25</v>
      </c>
      <c r="C34" s="6">
        <v>0.15</v>
      </c>
      <c r="D34" s="6">
        <v>0.16500000000000001</v>
      </c>
      <c r="E34" s="6">
        <v>0.18</v>
      </c>
      <c r="F34" s="6">
        <v>0.19500000000000001</v>
      </c>
      <c r="G34" s="6">
        <v>0.21</v>
      </c>
      <c r="H34" s="5">
        <v>0</v>
      </c>
      <c r="I34" s="5">
        <v>0.25</v>
      </c>
      <c r="J34" s="6">
        <v>0.17</v>
      </c>
      <c r="K34" s="6">
        <v>0.185</v>
      </c>
      <c r="L34" s="6">
        <v>0.2</v>
      </c>
      <c r="M34" s="6">
        <v>0.215</v>
      </c>
      <c r="N34" s="6">
        <v>0.23</v>
      </c>
    </row>
    <row r="35" spans="1:14">
      <c r="A35" s="5">
        <v>0.25</v>
      </c>
      <c r="B35" s="5">
        <v>0.27</v>
      </c>
      <c r="C35" s="6">
        <v>0.16</v>
      </c>
      <c r="D35" s="6">
        <v>0.17499999999999999</v>
      </c>
      <c r="E35" s="6">
        <v>0.19</v>
      </c>
      <c r="F35" s="6">
        <v>0.20499999999999999</v>
      </c>
      <c r="G35" s="6">
        <v>0.22</v>
      </c>
      <c r="H35" s="5">
        <v>0.25</v>
      </c>
      <c r="I35" s="5">
        <v>0.27</v>
      </c>
      <c r="J35" s="6">
        <v>0.18</v>
      </c>
      <c r="K35" s="6">
        <v>0.19500000000000001</v>
      </c>
      <c r="L35" s="6">
        <v>0.21</v>
      </c>
      <c r="M35" s="6">
        <v>0.22500000000000001</v>
      </c>
      <c r="N35" s="6">
        <v>0.24</v>
      </c>
    </row>
    <row r="36" spans="1:14">
      <c r="A36" s="5">
        <v>0.27</v>
      </c>
      <c r="B36" s="5">
        <v>0.28999999999999998</v>
      </c>
      <c r="C36" s="6">
        <v>0.17</v>
      </c>
      <c r="D36" s="6">
        <v>0.185</v>
      </c>
      <c r="E36" s="6">
        <v>0.2</v>
      </c>
      <c r="F36" s="6">
        <v>0.215</v>
      </c>
      <c r="G36" s="6">
        <v>0.23</v>
      </c>
      <c r="H36" s="5">
        <v>0.27</v>
      </c>
      <c r="I36" s="5">
        <v>0.28999999999999998</v>
      </c>
      <c r="J36" s="6">
        <v>0.19</v>
      </c>
      <c r="K36" s="6">
        <v>0.20499999999999999</v>
      </c>
      <c r="L36" s="6">
        <v>0.22</v>
      </c>
      <c r="M36" s="6">
        <v>0.23499999999999999</v>
      </c>
      <c r="N36" s="6">
        <v>0.25</v>
      </c>
    </row>
    <row r="37" spans="1:14">
      <c r="A37" s="5">
        <v>0.28999999999999998</v>
      </c>
      <c r="B37" s="5">
        <v>0.31</v>
      </c>
      <c r="C37" s="6">
        <v>0.18</v>
      </c>
      <c r="D37" s="6">
        <v>0.19500000000000001</v>
      </c>
      <c r="E37" s="6">
        <v>0.21</v>
      </c>
      <c r="F37" s="6">
        <v>0.22500000000000001</v>
      </c>
      <c r="G37" s="6">
        <v>0.24</v>
      </c>
      <c r="H37" s="5">
        <v>0.28999999999999998</v>
      </c>
      <c r="I37" s="5">
        <v>0.31</v>
      </c>
      <c r="J37" s="6">
        <v>0.2</v>
      </c>
      <c r="K37" s="6">
        <v>0.215</v>
      </c>
      <c r="L37" s="6">
        <v>0.23</v>
      </c>
      <c r="M37" s="6">
        <v>0.245</v>
      </c>
      <c r="N37" s="6">
        <v>0.26</v>
      </c>
    </row>
    <row r="38" spans="1:14">
      <c r="A38" s="5">
        <v>0.31</v>
      </c>
      <c r="B38" s="5">
        <v>0.33</v>
      </c>
      <c r="C38" s="6">
        <v>0.19</v>
      </c>
      <c r="D38" s="6">
        <v>0.20499999999999999</v>
      </c>
      <c r="E38" s="6">
        <v>0.22</v>
      </c>
      <c r="F38" s="6">
        <v>0.23499999999999999</v>
      </c>
      <c r="G38" s="6">
        <v>0.25</v>
      </c>
      <c r="H38" s="5">
        <v>0.31</v>
      </c>
      <c r="I38" s="5">
        <v>0.33</v>
      </c>
      <c r="J38" s="6">
        <v>0.21</v>
      </c>
      <c r="K38" s="6">
        <v>0.22500000000000001</v>
      </c>
      <c r="L38" s="6">
        <v>0.24</v>
      </c>
      <c r="M38" s="6">
        <v>0.255</v>
      </c>
      <c r="N38" s="6">
        <v>0.27</v>
      </c>
    </row>
    <row r="39" spans="1:14">
      <c r="A39" s="5">
        <v>0.33</v>
      </c>
      <c r="B39" s="5">
        <v>0.35</v>
      </c>
      <c r="C39" s="6">
        <v>0.2</v>
      </c>
      <c r="D39" s="6">
        <v>0.215</v>
      </c>
      <c r="E39" s="6">
        <v>0.23</v>
      </c>
      <c r="F39" s="6">
        <v>0.245</v>
      </c>
      <c r="G39" s="6">
        <v>0.26</v>
      </c>
      <c r="H39" s="5">
        <v>0.33</v>
      </c>
      <c r="I39" s="5">
        <v>0.35</v>
      </c>
      <c r="J39" s="6">
        <v>0.22</v>
      </c>
      <c r="K39" s="6">
        <v>0.23499999999999999</v>
      </c>
      <c r="L39" s="6">
        <v>0.25</v>
      </c>
      <c r="M39" s="6">
        <v>0.26500000000000001</v>
      </c>
      <c r="N39" s="6">
        <v>0.28000000000000003</v>
      </c>
    </row>
    <row r="40" spans="1:14">
      <c r="A40" s="5">
        <v>0.35</v>
      </c>
      <c r="B40" s="5">
        <v>0.37</v>
      </c>
      <c r="C40" s="6">
        <v>0.21</v>
      </c>
      <c r="D40" s="6">
        <v>0.22500000000000001</v>
      </c>
      <c r="E40" s="6">
        <v>0.24</v>
      </c>
      <c r="F40" s="6">
        <v>0.255</v>
      </c>
      <c r="G40" s="6">
        <v>0.27</v>
      </c>
      <c r="H40" s="5">
        <v>0.35</v>
      </c>
      <c r="I40" s="5">
        <v>0.37</v>
      </c>
      <c r="J40" s="6">
        <v>0.23</v>
      </c>
      <c r="K40" s="6">
        <v>0.245</v>
      </c>
      <c r="L40" s="6">
        <v>0.26</v>
      </c>
      <c r="M40" s="6">
        <v>0.27500000000000002</v>
      </c>
      <c r="N40" s="6">
        <v>0.28999999999999998</v>
      </c>
    </row>
    <row r="41" spans="1:14">
      <c r="A41" s="10" t="s">
        <v>76</v>
      </c>
      <c r="B41" s="10"/>
      <c r="C41" s="10"/>
      <c r="D41" s="10" t="s">
        <v>77</v>
      </c>
      <c r="E41" s="10"/>
      <c r="F41" s="10"/>
      <c r="G41" s="23"/>
      <c r="H41" s="23"/>
      <c r="I41" s="23"/>
      <c r="J41" s="23"/>
      <c r="K41" s="23"/>
      <c r="L41" s="23"/>
      <c r="M41" s="23"/>
      <c r="N41" s="23"/>
    </row>
    <row r="42" spans="1:14" ht="48" customHeight="1">
      <c r="A42" s="10" t="s">
        <v>47</v>
      </c>
      <c r="B42" s="10" t="s">
        <v>78</v>
      </c>
      <c r="C42" s="10" t="s">
        <v>79</v>
      </c>
      <c r="D42" s="10" t="s">
        <v>47</v>
      </c>
      <c r="E42" s="10" t="s">
        <v>78</v>
      </c>
      <c r="F42" s="10" t="s">
        <v>79</v>
      </c>
      <c r="G42" s="23"/>
      <c r="H42" s="23"/>
      <c r="I42" s="23"/>
      <c r="J42" s="23"/>
      <c r="K42" s="23"/>
      <c r="L42" s="23"/>
      <c r="M42" s="23"/>
      <c r="N42" s="23"/>
    </row>
    <row r="43" spans="1:14">
      <c r="A43" s="11" t="s">
        <v>80</v>
      </c>
      <c r="B43" s="12">
        <v>0.15</v>
      </c>
      <c r="C43" s="12">
        <v>0.18</v>
      </c>
      <c r="D43" s="11" t="s">
        <v>81</v>
      </c>
      <c r="E43" s="12">
        <v>0.24</v>
      </c>
      <c r="F43" s="12">
        <v>0.25</v>
      </c>
      <c r="G43" s="23"/>
      <c r="H43" s="23"/>
      <c r="I43" s="23"/>
      <c r="J43" s="23"/>
      <c r="K43" s="23"/>
      <c r="L43" s="23"/>
      <c r="M43" s="23"/>
      <c r="N43" s="23"/>
    </row>
    <row r="44" spans="1:14">
      <c r="A44" s="11" t="s">
        <v>82</v>
      </c>
      <c r="B44" s="12">
        <v>0.18</v>
      </c>
      <c r="C44" s="12">
        <v>0.2</v>
      </c>
      <c r="D44" s="11" t="s">
        <v>56</v>
      </c>
      <c r="E44" s="12">
        <v>0.27</v>
      </c>
      <c r="F44" s="12">
        <v>0.28000000000000003</v>
      </c>
      <c r="G44" s="23"/>
      <c r="H44" s="23"/>
      <c r="I44" s="23"/>
      <c r="J44" s="23"/>
      <c r="K44" s="23"/>
      <c r="L44" s="23"/>
      <c r="M44" s="23"/>
      <c r="N44" s="23"/>
    </row>
    <row r="45" spans="1:14">
      <c r="A45" s="11" t="s">
        <v>56</v>
      </c>
      <c r="B45" s="12">
        <v>0.2</v>
      </c>
      <c r="C45" s="12">
        <v>0.24</v>
      </c>
      <c r="D45" s="11" t="s">
        <v>60</v>
      </c>
      <c r="E45" s="12">
        <v>0.3</v>
      </c>
      <c r="F45" s="12">
        <v>0.31</v>
      </c>
      <c r="G45" s="23"/>
      <c r="H45" s="23"/>
      <c r="I45" s="23"/>
      <c r="J45" s="23"/>
      <c r="K45" s="23"/>
      <c r="L45" s="23"/>
      <c r="M45" s="23"/>
      <c r="N45" s="23"/>
    </row>
    <row r="46" spans="1:14">
      <c r="A46" s="11" t="s">
        <v>60</v>
      </c>
      <c r="B46" s="12">
        <v>0.22</v>
      </c>
      <c r="C46" s="12">
        <v>0.27</v>
      </c>
      <c r="D46" s="11" t="s">
        <v>63</v>
      </c>
      <c r="E46" s="12">
        <v>0.33</v>
      </c>
      <c r="F46" s="12">
        <v>0.33</v>
      </c>
      <c r="G46" s="23"/>
      <c r="H46" s="23"/>
      <c r="I46" s="23"/>
      <c r="J46" s="23"/>
      <c r="K46" s="23"/>
      <c r="L46" s="23"/>
      <c r="M46" s="23"/>
      <c r="N46" s="23"/>
    </row>
    <row r="47" spans="1:14">
      <c r="A47" s="11" t="s">
        <v>63</v>
      </c>
      <c r="B47" s="12">
        <v>0.25</v>
      </c>
      <c r="C47" s="12">
        <v>0.3</v>
      </c>
      <c r="D47" s="11" t="s">
        <v>66</v>
      </c>
      <c r="E47" s="12">
        <v>0.35</v>
      </c>
      <c r="F47" s="12">
        <v>0.36</v>
      </c>
      <c r="G47" s="23"/>
      <c r="H47" s="23"/>
      <c r="I47" s="23"/>
      <c r="J47" s="23"/>
      <c r="K47" s="23"/>
      <c r="L47" s="23"/>
      <c r="M47" s="23"/>
      <c r="N47" s="23"/>
    </row>
    <row r="48" spans="1:14">
      <c r="A48" s="11" t="s">
        <v>66</v>
      </c>
      <c r="B48" s="12">
        <v>0.27</v>
      </c>
      <c r="C48" s="12">
        <v>0.33</v>
      </c>
      <c r="D48" s="11" t="s">
        <v>69</v>
      </c>
      <c r="E48" s="12">
        <v>0.37</v>
      </c>
      <c r="F48" s="12">
        <v>0.38</v>
      </c>
      <c r="G48" s="23"/>
      <c r="H48" s="23"/>
      <c r="I48" s="23"/>
      <c r="J48" s="23"/>
      <c r="K48" s="23"/>
      <c r="L48" s="23"/>
      <c r="M48" s="23"/>
      <c r="N48" s="23"/>
    </row>
    <row r="49" spans="1:28">
      <c r="A49" s="11" t="s">
        <v>69</v>
      </c>
      <c r="B49" s="12">
        <v>0.28999999999999998</v>
      </c>
      <c r="C49" s="12">
        <v>0.36</v>
      </c>
      <c r="D49" s="11" t="s">
        <v>72</v>
      </c>
      <c r="E49" s="12">
        <v>0.4</v>
      </c>
      <c r="F49" s="12">
        <v>0.41</v>
      </c>
      <c r="G49" s="23"/>
      <c r="H49" s="23"/>
      <c r="I49" s="23"/>
      <c r="J49" s="23"/>
      <c r="K49" s="23"/>
      <c r="L49" s="23"/>
      <c r="M49" s="23"/>
      <c r="N49" s="23"/>
    </row>
    <row r="50" spans="1:28">
      <c r="A50" s="11" t="s">
        <v>72</v>
      </c>
      <c r="B50" s="12">
        <v>0.32</v>
      </c>
      <c r="C50" s="12">
        <v>0.38</v>
      </c>
      <c r="D50" s="11" t="s">
        <v>73</v>
      </c>
      <c r="E50" s="12">
        <v>0.43</v>
      </c>
      <c r="F50" s="12">
        <v>0.43</v>
      </c>
      <c r="G50" s="23"/>
      <c r="H50" s="23"/>
      <c r="I50" s="23"/>
      <c r="J50" s="23"/>
      <c r="K50" s="23"/>
      <c r="L50" s="23"/>
      <c r="M50" s="23"/>
      <c r="N50" s="23"/>
    </row>
    <row r="51" spans="1:28">
      <c r="A51" s="11" t="s">
        <v>73</v>
      </c>
      <c r="B51" s="12">
        <v>0.34</v>
      </c>
      <c r="C51" s="12">
        <v>0.41</v>
      </c>
      <c r="D51" s="11" t="s">
        <v>74</v>
      </c>
      <c r="E51" s="12">
        <v>0.45</v>
      </c>
      <c r="F51" s="12">
        <v>0.45</v>
      </c>
      <c r="G51" s="23"/>
      <c r="H51" s="23"/>
      <c r="I51" s="23"/>
      <c r="J51" s="23"/>
      <c r="K51" s="23"/>
      <c r="L51" s="23"/>
      <c r="M51" s="23"/>
      <c r="N51" s="23"/>
    </row>
    <row r="52" spans="1:28">
      <c r="A52" s="11" t="s">
        <v>74</v>
      </c>
      <c r="B52" s="12">
        <v>0.4</v>
      </c>
      <c r="C52" s="12">
        <v>0.4</v>
      </c>
      <c r="D52" s="11" t="s">
        <v>83</v>
      </c>
      <c r="E52" s="12">
        <v>0.3</v>
      </c>
      <c r="F52" s="12">
        <v>0.3</v>
      </c>
      <c r="G52" s="23"/>
      <c r="H52" s="23"/>
      <c r="I52" s="23"/>
      <c r="J52" s="23"/>
      <c r="K52" s="23"/>
      <c r="L52" s="23"/>
      <c r="M52" s="23"/>
      <c r="N52" s="23"/>
    </row>
    <row r="53" spans="1:28">
      <c r="A53" s="11" t="s">
        <v>83</v>
      </c>
      <c r="B53" s="12">
        <v>0.2</v>
      </c>
      <c r="C53" s="12">
        <v>0.25</v>
      </c>
      <c r="D53" s="11" t="s">
        <v>84</v>
      </c>
      <c r="E53" s="12">
        <v>0.41</v>
      </c>
      <c r="F53" s="12">
        <v>0.41</v>
      </c>
      <c r="G53" s="23"/>
      <c r="H53" s="23"/>
      <c r="I53" s="23"/>
      <c r="J53" s="23"/>
      <c r="K53" s="23"/>
      <c r="L53" s="23"/>
      <c r="M53" s="23"/>
      <c r="N53" s="23"/>
    </row>
    <row r="54" spans="1:28" ht="21" customHeight="1">
      <c r="A54" s="11" t="s">
        <v>84</v>
      </c>
      <c r="B54" s="12">
        <v>0.4</v>
      </c>
      <c r="C54" s="12">
        <v>0.4</v>
      </c>
      <c r="D54" s="11"/>
      <c r="E54" s="11"/>
      <c r="F54" s="11"/>
      <c r="G54" s="23"/>
      <c r="H54" s="23"/>
      <c r="I54" s="23"/>
      <c r="J54" s="23"/>
      <c r="K54" s="23"/>
      <c r="L54" s="23"/>
      <c r="M54" s="23"/>
      <c r="N54" s="23"/>
    </row>
    <row r="55" spans="1:28">
      <c r="A55" s="13" t="s">
        <v>394</v>
      </c>
      <c r="B55" s="13"/>
      <c r="C55" s="13"/>
      <c r="D55" s="13"/>
      <c r="E55" s="13"/>
      <c r="F55" s="13"/>
      <c r="G55" s="13"/>
      <c r="H55" s="13"/>
      <c r="I55" s="13" t="s">
        <v>86</v>
      </c>
      <c r="J55" s="13"/>
      <c r="K55" s="13"/>
      <c r="L55" s="13"/>
      <c r="M55" s="13"/>
      <c r="N55" s="13"/>
      <c r="O55" s="13"/>
      <c r="P55" s="13"/>
      <c r="Q55" s="13" t="s">
        <v>87</v>
      </c>
      <c r="R55" s="13"/>
      <c r="S55" s="13"/>
      <c r="T55" s="13"/>
      <c r="U55" s="13"/>
      <c r="V55" s="13"/>
      <c r="W55" s="13"/>
      <c r="X55" s="13"/>
      <c r="Y55" s="26" t="s">
        <v>88</v>
      </c>
      <c r="Z55" s="26"/>
      <c r="AA55" s="26"/>
      <c r="AB55" s="27"/>
    </row>
    <row r="56" spans="1:28">
      <c r="A56" s="13" t="s">
        <v>89</v>
      </c>
      <c r="B56" s="13"/>
      <c r="C56" s="13" t="s">
        <v>90</v>
      </c>
      <c r="D56" s="13"/>
      <c r="E56" s="13"/>
      <c r="F56" s="13"/>
      <c r="G56" s="13"/>
      <c r="H56" s="13"/>
      <c r="I56" s="13" t="s">
        <v>89</v>
      </c>
      <c r="J56" s="13"/>
      <c r="K56" s="13" t="s">
        <v>91</v>
      </c>
      <c r="L56" s="13"/>
      <c r="M56" s="13"/>
      <c r="N56" s="13"/>
      <c r="O56" s="13"/>
      <c r="P56" s="13"/>
      <c r="Q56" s="13" t="s">
        <v>89</v>
      </c>
      <c r="R56" s="13"/>
      <c r="S56" s="13" t="s">
        <v>91</v>
      </c>
      <c r="T56" s="13"/>
      <c r="U56" s="13"/>
      <c r="V56" s="13"/>
      <c r="W56" s="13"/>
      <c r="X56" s="13"/>
      <c r="Y56" s="13" t="s">
        <v>47</v>
      </c>
      <c r="Z56" s="13" t="s">
        <v>92</v>
      </c>
      <c r="AA56" s="13" t="s">
        <v>93</v>
      </c>
      <c r="AB56" s="27"/>
    </row>
    <row r="57" spans="1:28">
      <c r="A57" s="14" t="s">
        <v>94</v>
      </c>
      <c r="B57" s="14" t="s">
        <v>5</v>
      </c>
      <c r="C57" s="14" t="s">
        <v>95</v>
      </c>
      <c r="D57" s="14" t="s">
        <v>96</v>
      </c>
      <c r="E57" s="14" t="s">
        <v>97</v>
      </c>
      <c r="F57" s="14" t="s">
        <v>98</v>
      </c>
      <c r="G57" s="14" t="s">
        <v>99</v>
      </c>
      <c r="H57" s="14" t="s">
        <v>100</v>
      </c>
      <c r="I57" s="14" t="s">
        <v>94</v>
      </c>
      <c r="J57" s="14" t="s">
        <v>5</v>
      </c>
      <c r="K57" s="14" t="s">
        <v>101</v>
      </c>
      <c r="L57" s="14" t="s">
        <v>102</v>
      </c>
      <c r="M57" s="14" t="s">
        <v>103</v>
      </c>
      <c r="N57" s="14" t="s">
        <v>104</v>
      </c>
      <c r="O57" s="14" t="s">
        <v>105</v>
      </c>
      <c r="P57" s="14" t="s">
        <v>106</v>
      </c>
      <c r="Q57" s="14" t="s">
        <v>94</v>
      </c>
      <c r="R57" s="14" t="s">
        <v>5</v>
      </c>
      <c r="S57" s="14" t="s">
        <v>101</v>
      </c>
      <c r="T57" s="14" t="s">
        <v>102</v>
      </c>
      <c r="U57" s="14" t="s">
        <v>103</v>
      </c>
      <c r="V57" s="14" t="s">
        <v>104</v>
      </c>
      <c r="W57" s="14" t="s">
        <v>105</v>
      </c>
      <c r="X57" s="14" t="s">
        <v>106</v>
      </c>
      <c r="Y57" s="28" t="s">
        <v>47</v>
      </c>
      <c r="Z57" s="28"/>
      <c r="AA57" s="28"/>
      <c r="AB57" s="27"/>
    </row>
    <row r="58" spans="1:28">
      <c r="A58" s="15"/>
      <c r="B58" s="15"/>
      <c r="C58" s="16">
        <v>0</v>
      </c>
      <c r="D58" s="17">
        <v>0.1101</v>
      </c>
      <c r="E58" s="17">
        <v>0.13009999999999999</v>
      </c>
      <c r="F58" s="17">
        <v>0.15010000000000001</v>
      </c>
      <c r="G58" s="17">
        <v>0.18010000000000001</v>
      </c>
      <c r="H58" s="17">
        <v>0.2001</v>
      </c>
      <c r="I58" s="25"/>
      <c r="J58" s="15"/>
      <c r="K58" s="18">
        <v>0</v>
      </c>
      <c r="L58" s="19">
        <v>7.0099999999999996E-2</v>
      </c>
      <c r="M58" s="19">
        <v>9.01E-2</v>
      </c>
      <c r="N58" s="19">
        <v>0.1101</v>
      </c>
      <c r="O58" s="19">
        <v>0.13009999999999999</v>
      </c>
      <c r="P58" s="19">
        <v>0.15010000000000001</v>
      </c>
      <c r="Q58" s="25"/>
      <c r="R58" s="15"/>
      <c r="S58" s="18">
        <v>0</v>
      </c>
      <c r="T58" s="19">
        <v>7.0099999999999996E-2</v>
      </c>
      <c r="U58" s="19">
        <v>9.01E-2</v>
      </c>
      <c r="V58" s="19">
        <v>0.1101</v>
      </c>
      <c r="W58" s="19">
        <v>0.13009999999999999</v>
      </c>
      <c r="X58" s="19">
        <v>0.15010000000000001</v>
      </c>
      <c r="Y58" s="25" t="s">
        <v>81</v>
      </c>
      <c r="Z58" s="18">
        <v>0.2</v>
      </c>
      <c r="AA58" s="18">
        <v>0.24</v>
      </c>
      <c r="AB58" s="29"/>
    </row>
    <row r="59" spans="1:28">
      <c r="A59" s="18">
        <v>0</v>
      </c>
      <c r="B59" s="18">
        <v>0.7</v>
      </c>
      <c r="C59" s="19">
        <v>0.04</v>
      </c>
      <c r="D59" s="19">
        <v>7.0000000000000007E-2</v>
      </c>
      <c r="E59" s="19">
        <v>0.09</v>
      </c>
      <c r="F59" s="19">
        <v>0.11</v>
      </c>
      <c r="G59" s="19">
        <v>0.14000000000000001</v>
      </c>
      <c r="H59" s="19">
        <v>0.17</v>
      </c>
      <c r="I59" s="18">
        <v>0</v>
      </c>
      <c r="J59" s="18">
        <v>0.45</v>
      </c>
      <c r="K59" s="19">
        <v>0.06</v>
      </c>
      <c r="L59" s="19">
        <v>0.08</v>
      </c>
      <c r="M59" s="19">
        <v>0.11</v>
      </c>
      <c r="N59" s="19">
        <v>0.13</v>
      </c>
      <c r="O59" s="19">
        <v>0.15</v>
      </c>
      <c r="P59" s="19">
        <v>0.17</v>
      </c>
      <c r="Q59" s="18">
        <v>0</v>
      </c>
      <c r="R59" s="18">
        <v>0.35</v>
      </c>
      <c r="S59" s="19">
        <v>0.09</v>
      </c>
      <c r="T59" s="19">
        <v>0.1</v>
      </c>
      <c r="U59" s="19">
        <v>0.11</v>
      </c>
      <c r="V59" s="19">
        <v>0.12</v>
      </c>
      <c r="W59" s="19">
        <v>0.14000000000000001</v>
      </c>
      <c r="X59" s="19">
        <v>0.16</v>
      </c>
      <c r="Y59" s="25" t="s">
        <v>56</v>
      </c>
      <c r="Z59" s="18">
        <v>0.23</v>
      </c>
      <c r="AA59" s="18">
        <v>0.28000000000000003</v>
      </c>
      <c r="AB59" s="29"/>
    </row>
    <row r="60" spans="1:28">
      <c r="A60" s="18">
        <v>0.7</v>
      </c>
      <c r="B60" s="18">
        <v>0.75</v>
      </c>
      <c r="C60" s="19">
        <v>0.08</v>
      </c>
      <c r="D60" s="19">
        <v>0.1</v>
      </c>
      <c r="E60" s="19">
        <v>0.12</v>
      </c>
      <c r="F60" s="19">
        <v>0.14000000000000001</v>
      </c>
      <c r="G60" s="19">
        <v>0.17</v>
      </c>
      <c r="H60" s="19">
        <v>0.2</v>
      </c>
      <c r="I60" s="18">
        <v>0.45</v>
      </c>
      <c r="J60" s="18">
        <v>0.5</v>
      </c>
      <c r="K60" s="19">
        <v>0.08</v>
      </c>
      <c r="L60" s="19">
        <v>0.1</v>
      </c>
      <c r="M60" s="19">
        <v>0.13</v>
      </c>
      <c r="N60" s="19">
        <v>0.15</v>
      </c>
      <c r="O60" s="19">
        <v>0.17</v>
      </c>
      <c r="P60" s="19">
        <v>0.19</v>
      </c>
      <c r="Q60" s="18">
        <v>0.35</v>
      </c>
      <c r="R60" s="18">
        <v>0.4</v>
      </c>
      <c r="S60" s="19">
        <v>0.12</v>
      </c>
      <c r="T60" s="19">
        <v>0.13</v>
      </c>
      <c r="U60" s="19">
        <v>0.16</v>
      </c>
      <c r="V60" s="19">
        <v>0.18</v>
      </c>
      <c r="W60" s="19">
        <v>0.21</v>
      </c>
      <c r="X60" s="19">
        <v>0.23</v>
      </c>
      <c r="Y60" s="25" t="s">
        <v>60</v>
      </c>
      <c r="Z60" s="18">
        <v>0.26</v>
      </c>
      <c r="AA60" s="18">
        <v>0.32</v>
      </c>
      <c r="AB60" s="29"/>
    </row>
    <row r="61" spans="1:28">
      <c r="A61" s="18">
        <v>0.75</v>
      </c>
      <c r="B61" s="18">
        <v>0.78</v>
      </c>
      <c r="C61" s="19">
        <v>0.09</v>
      </c>
      <c r="D61" s="19">
        <v>0.11</v>
      </c>
      <c r="E61" s="19">
        <v>0.13</v>
      </c>
      <c r="F61" s="19">
        <v>0.15</v>
      </c>
      <c r="G61" s="19">
        <v>0.18</v>
      </c>
      <c r="H61" s="19">
        <v>0.21</v>
      </c>
      <c r="I61" s="18">
        <v>0.5</v>
      </c>
      <c r="J61" s="18">
        <v>0.55000000000000004</v>
      </c>
      <c r="K61" s="19">
        <v>0.1</v>
      </c>
      <c r="L61" s="19">
        <v>0.12</v>
      </c>
      <c r="M61" s="19">
        <v>0.15</v>
      </c>
      <c r="N61" s="19">
        <v>0.17</v>
      </c>
      <c r="O61" s="19">
        <v>0.19</v>
      </c>
      <c r="P61" s="19">
        <v>0.21</v>
      </c>
      <c r="Q61" s="18">
        <v>0.4</v>
      </c>
      <c r="R61" s="18">
        <v>0.45</v>
      </c>
      <c r="S61" s="19">
        <v>0.14000000000000001</v>
      </c>
      <c r="T61" s="19">
        <v>0.16</v>
      </c>
      <c r="U61" s="19">
        <v>0.19</v>
      </c>
      <c r="V61" s="19">
        <v>0.22</v>
      </c>
      <c r="W61" s="19">
        <v>0.25</v>
      </c>
      <c r="X61" s="19">
        <v>0.27</v>
      </c>
      <c r="Y61" s="25" t="s">
        <v>63</v>
      </c>
      <c r="Z61" s="18">
        <v>0.28999999999999998</v>
      </c>
      <c r="AA61" s="18">
        <v>0.35</v>
      </c>
      <c r="AB61" s="29"/>
    </row>
    <row r="62" spans="1:28">
      <c r="A62" s="18">
        <v>0.78</v>
      </c>
      <c r="B62" s="18">
        <v>0.83</v>
      </c>
      <c r="C62" s="19">
        <v>0.11</v>
      </c>
      <c r="D62" s="19">
        <v>0.14000000000000001</v>
      </c>
      <c r="E62" s="19">
        <v>0.16</v>
      </c>
      <c r="F62" s="19">
        <v>0.18</v>
      </c>
      <c r="G62" s="19">
        <v>0.22</v>
      </c>
      <c r="H62" s="19">
        <v>0.26</v>
      </c>
      <c r="I62" s="18">
        <v>0.55000000000000004</v>
      </c>
      <c r="J62" s="18">
        <v>0.6</v>
      </c>
      <c r="K62" s="19">
        <v>0.11</v>
      </c>
      <c r="L62" s="19">
        <v>0.14000000000000001</v>
      </c>
      <c r="M62" s="19">
        <v>0.16</v>
      </c>
      <c r="N62" s="19">
        <v>0.185</v>
      </c>
      <c r="O62" s="19">
        <v>0.22</v>
      </c>
      <c r="P62" s="19">
        <v>0.25</v>
      </c>
      <c r="Q62" s="18">
        <v>0.45</v>
      </c>
      <c r="R62" s="18">
        <v>0.5</v>
      </c>
      <c r="S62" s="19">
        <v>0.18</v>
      </c>
      <c r="T62" s="19">
        <v>0.19</v>
      </c>
      <c r="U62" s="19">
        <v>0.23</v>
      </c>
      <c r="V62" s="19">
        <v>0.25</v>
      </c>
      <c r="W62" s="19">
        <v>0.28999999999999998</v>
      </c>
      <c r="X62" s="19">
        <v>0.31</v>
      </c>
      <c r="Y62" s="25" t="s">
        <v>66</v>
      </c>
      <c r="Z62" s="18">
        <v>0.31</v>
      </c>
      <c r="AA62" s="18">
        <v>0.37</v>
      </c>
      <c r="AB62" s="29"/>
    </row>
    <row r="63" spans="1:28">
      <c r="A63" s="18">
        <v>0.83</v>
      </c>
      <c r="B63" s="18">
        <v>0.85</v>
      </c>
      <c r="C63" s="19">
        <v>0.125</v>
      </c>
      <c r="D63" s="19">
        <v>0.155</v>
      </c>
      <c r="E63" s="19">
        <v>0.17499999999999999</v>
      </c>
      <c r="F63" s="19">
        <v>0.19500000000000001</v>
      </c>
      <c r="G63" s="19">
        <v>0.23499999999999999</v>
      </c>
      <c r="H63" s="19">
        <v>0.27500000000000002</v>
      </c>
      <c r="I63" s="18">
        <v>0.6</v>
      </c>
      <c r="J63" s="18">
        <v>0.65</v>
      </c>
      <c r="K63" s="19">
        <v>0.12</v>
      </c>
      <c r="L63" s="19">
        <v>0.155</v>
      </c>
      <c r="M63" s="19">
        <v>0.17499999999999999</v>
      </c>
      <c r="N63" s="19">
        <v>0.2</v>
      </c>
      <c r="O63" s="19">
        <v>0.25</v>
      </c>
      <c r="P63" s="19">
        <v>0.28999999999999998</v>
      </c>
      <c r="Q63" s="18">
        <v>0.5</v>
      </c>
      <c r="R63" s="18">
        <v>0.55000000000000004</v>
      </c>
      <c r="S63" s="19">
        <v>0.22</v>
      </c>
      <c r="T63" s="19">
        <v>0.23</v>
      </c>
      <c r="U63" s="19">
        <v>0.26</v>
      </c>
      <c r="V63" s="19">
        <v>0.28000000000000003</v>
      </c>
      <c r="W63" s="19">
        <v>0.32</v>
      </c>
      <c r="X63" s="19">
        <v>0.35</v>
      </c>
      <c r="Y63" s="25" t="s">
        <v>69</v>
      </c>
      <c r="Z63" s="18">
        <v>0.33</v>
      </c>
      <c r="AA63" s="18">
        <v>0.4</v>
      </c>
      <c r="AB63" s="29"/>
    </row>
    <row r="64" spans="1:28">
      <c r="A64" s="18">
        <v>0.85</v>
      </c>
      <c r="B64" s="18">
        <v>0.88</v>
      </c>
      <c r="C64" s="19">
        <v>0.14499999999999999</v>
      </c>
      <c r="D64" s="19">
        <v>0.17499999999999999</v>
      </c>
      <c r="E64" s="19">
        <v>0.19500000000000001</v>
      </c>
      <c r="F64" s="19">
        <v>0.215</v>
      </c>
      <c r="G64" s="19">
        <v>0.255</v>
      </c>
      <c r="H64" s="19">
        <v>0.29499999999999998</v>
      </c>
      <c r="I64" s="18">
        <v>0.65</v>
      </c>
      <c r="J64" s="18">
        <v>0.7</v>
      </c>
      <c r="K64" s="19">
        <v>0.15</v>
      </c>
      <c r="L64" s="19">
        <v>0.185</v>
      </c>
      <c r="M64" s="19">
        <v>0.20499999999999999</v>
      </c>
      <c r="N64" s="19">
        <v>0.23</v>
      </c>
      <c r="O64" s="19">
        <v>0.27</v>
      </c>
      <c r="P64" s="19">
        <v>0.32</v>
      </c>
      <c r="Q64" s="18">
        <v>0.55000000000000004</v>
      </c>
      <c r="R64" s="18">
        <v>0.6</v>
      </c>
      <c r="S64" s="19">
        <v>0.255</v>
      </c>
      <c r="T64" s="19">
        <v>0.27500000000000002</v>
      </c>
      <c r="U64" s="19">
        <v>0.30499999999999999</v>
      </c>
      <c r="V64" s="19">
        <v>0.33500000000000002</v>
      </c>
      <c r="W64" s="19">
        <v>0.36499999999999999</v>
      </c>
      <c r="X64" s="19">
        <v>0.39500000000000002</v>
      </c>
      <c r="Y64" s="25" t="s">
        <v>72</v>
      </c>
      <c r="Z64" s="18">
        <v>0.36</v>
      </c>
      <c r="AA64" s="18">
        <v>0.43</v>
      </c>
      <c r="AB64" s="29"/>
    </row>
    <row r="65" spans="1:28">
      <c r="A65" s="18">
        <v>0.89</v>
      </c>
      <c r="B65" s="18">
        <v>0.92</v>
      </c>
      <c r="C65" s="19">
        <v>0.185</v>
      </c>
      <c r="D65" s="19">
        <v>0.215</v>
      </c>
      <c r="E65" s="19">
        <v>0.23499999999999999</v>
      </c>
      <c r="F65" s="19">
        <v>0.255</v>
      </c>
      <c r="G65" s="19">
        <v>0.29499999999999998</v>
      </c>
      <c r="H65" s="19">
        <v>0.33500000000000002</v>
      </c>
      <c r="I65" s="18">
        <v>0.7</v>
      </c>
      <c r="J65" s="18">
        <v>0.75</v>
      </c>
      <c r="K65" s="19">
        <v>0.18</v>
      </c>
      <c r="L65" s="19">
        <v>0.22500000000000001</v>
      </c>
      <c r="M65" s="19">
        <v>0.245</v>
      </c>
      <c r="N65" s="19">
        <v>0.27</v>
      </c>
      <c r="O65" s="19">
        <v>0.3</v>
      </c>
      <c r="P65" s="19">
        <v>0.36</v>
      </c>
      <c r="Q65" s="18">
        <v>0.6</v>
      </c>
      <c r="R65" s="18">
        <v>0.65</v>
      </c>
      <c r="S65" s="19">
        <v>0.26500000000000001</v>
      </c>
      <c r="T65" s="19">
        <v>0.28499999999999998</v>
      </c>
      <c r="U65" s="19">
        <v>0.315</v>
      </c>
      <c r="V65" s="19">
        <v>0.34499999999999997</v>
      </c>
      <c r="W65" s="19">
        <v>0.375</v>
      </c>
      <c r="X65" s="19">
        <v>0.40500000000000003</v>
      </c>
      <c r="Y65" s="25" t="s">
        <v>73</v>
      </c>
      <c r="Z65" s="18">
        <v>0.4</v>
      </c>
      <c r="AA65" s="18">
        <v>0.48</v>
      </c>
      <c r="AB65" s="29"/>
    </row>
    <row r="66" spans="1:28">
      <c r="A66" s="30" t="s">
        <v>107</v>
      </c>
      <c r="B66" s="30"/>
      <c r="C66" s="31">
        <v>0.20499999999999999</v>
      </c>
      <c r="D66" s="31">
        <v>0.23499999999999999</v>
      </c>
      <c r="E66" s="31">
        <v>0.255</v>
      </c>
      <c r="F66" s="31">
        <v>0.27500000000000002</v>
      </c>
      <c r="G66" s="31">
        <v>0.315</v>
      </c>
      <c r="H66" s="31">
        <v>0.35499999999999998</v>
      </c>
      <c r="I66" s="57">
        <v>0.75</v>
      </c>
      <c r="J66" s="57">
        <v>1</v>
      </c>
      <c r="K66" s="31">
        <v>0.21</v>
      </c>
      <c r="L66" s="31">
        <v>0.255</v>
      </c>
      <c r="M66" s="31">
        <v>0.27500000000000002</v>
      </c>
      <c r="N66" s="31">
        <v>0.3</v>
      </c>
      <c r="O66" s="31">
        <v>0.34</v>
      </c>
      <c r="P66" s="31">
        <v>0.39</v>
      </c>
      <c r="Q66" s="57">
        <v>0.65</v>
      </c>
      <c r="R66" s="57">
        <v>1</v>
      </c>
      <c r="S66" s="31">
        <v>0.27500000000000002</v>
      </c>
      <c r="T66" s="31">
        <v>0.29499999999999998</v>
      </c>
      <c r="U66" s="31">
        <v>0.32500000000000001</v>
      </c>
      <c r="V66" s="19">
        <v>0.35499999999999998</v>
      </c>
      <c r="W66" s="19">
        <v>0.38500000000000001</v>
      </c>
      <c r="X66" s="19">
        <v>0.41499999999999998</v>
      </c>
      <c r="Y66" s="25" t="s">
        <v>74</v>
      </c>
      <c r="Z66" s="18">
        <v>0.45</v>
      </c>
      <c r="AA66" s="18">
        <v>0.5</v>
      </c>
      <c r="AB66" s="29"/>
    </row>
    <row r="67" spans="1:28">
      <c r="A67" s="32" t="s">
        <v>395</v>
      </c>
      <c r="B67" s="32"/>
      <c r="C67" s="32" t="s">
        <v>117</v>
      </c>
      <c r="D67" s="32"/>
      <c r="E67" s="32"/>
      <c r="F67" s="32"/>
      <c r="G67" s="32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25" t="s">
        <v>83</v>
      </c>
      <c r="T67" s="18">
        <v>0.27</v>
      </c>
      <c r="U67" s="18">
        <v>0.3</v>
      </c>
      <c r="V67" s="29"/>
    </row>
    <row r="68" spans="1:28">
      <c r="A68" s="33"/>
      <c r="B68" s="34" t="s">
        <v>118</v>
      </c>
      <c r="C68" s="34"/>
      <c r="D68" s="34"/>
      <c r="E68" s="33"/>
      <c r="F68" s="33"/>
      <c r="G68" s="33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25" t="s">
        <v>84</v>
      </c>
      <c r="U68" s="18">
        <v>0.43</v>
      </c>
      <c r="V68" s="18">
        <v>0.43</v>
      </c>
      <c r="W68" s="29"/>
    </row>
    <row r="69" spans="1:28">
      <c r="A69" s="35" t="s">
        <v>119</v>
      </c>
      <c r="B69" s="35" t="s">
        <v>120</v>
      </c>
      <c r="C69" s="35" t="s">
        <v>121</v>
      </c>
      <c r="D69" s="35" t="s">
        <v>122</v>
      </c>
      <c r="E69" s="35" t="s">
        <v>123</v>
      </c>
      <c r="F69" s="35" t="s">
        <v>124</v>
      </c>
      <c r="G69" s="35" t="s">
        <v>125</v>
      </c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</row>
    <row r="70" spans="1:28">
      <c r="A70" s="36" t="s">
        <v>126</v>
      </c>
      <c r="B70" s="37" t="s">
        <v>127</v>
      </c>
      <c r="C70" s="38"/>
      <c r="D70" s="38"/>
      <c r="E70" s="53">
        <v>2.75E-2</v>
      </c>
      <c r="F70" s="38"/>
      <c r="G70" s="38"/>
    </row>
    <row r="71" spans="1:28">
      <c r="A71" s="36"/>
      <c r="B71" s="37" t="s">
        <v>128</v>
      </c>
      <c r="C71" s="38"/>
      <c r="D71" s="38"/>
      <c r="E71" s="53">
        <v>0.04</v>
      </c>
      <c r="F71" s="38"/>
      <c r="G71" s="38"/>
    </row>
    <row r="72" spans="1:28">
      <c r="A72" s="36"/>
      <c r="B72" s="37" t="s">
        <v>129</v>
      </c>
      <c r="C72" s="38"/>
      <c r="D72" s="38"/>
      <c r="E72" s="53">
        <v>4.7500000000000001E-2</v>
      </c>
      <c r="F72" s="38"/>
      <c r="G72" s="38"/>
    </row>
    <row r="73" spans="1:28">
      <c r="A73" s="36"/>
      <c r="B73" s="37" t="s">
        <v>130</v>
      </c>
      <c r="C73" s="38"/>
      <c r="D73" s="38"/>
      <c r="E73" s="53">
        <v>5.5E-2</v>
      </c>
      <c r="F73" s="38"/>
      <c r="G73" s="38"/>
    </row>
    <row r="74" spans="1:28">
      <c r="A74" s="36" t="s">
        <v>131</v>
      </c>
      <c r="B74" s="37" t="s">
        <v>132</v>
      </c>
      <c r="C74" s="38"/>
      <c r="D74" s="37" t="s">
        <v>133</v>
      </c>
      <c r="E74" s="53">
        <v>3.6499999999999998E-2</v>
      </c>
      <c r="F74" s="38"/>
      <c r="G74" s="53">
        <v>6.0000000000000001E-3</v>
      </c>
    </row>
    <row r="75" spans="1:28">
      <c r="A75" s="36"/>
      <c r="B75" s="37" t="s">
        <v>134</v>
      </c>
      <c r="C75" s="38"/>
      <c r="D75" s="37" t="s">
        <v>135</v>
      </c>
      <c r="E75" s="53">
        <v>4.8000000000000001E-2</v>
      </c>
      <c r="F75" s="38"/>
      <c r="G75" s="53">
        <v>1.4999999999999999E-2</v>
      </c>
    </row>
    <row r="76" spans="1:28">
      <c r="A76" s="36"/>
      <c r="B76" s="37" t="s">
        <v>136</v>
      </c>
      <c r="C76" s="38"/>
      <c r="D76" s="37" t="s">
        <v>137</v>
      </c>
      <c r="E76" s="53">
        <v>5.3999999999999999E-2</v>
      </c>
      <c r="F76" s="38"/>
      <c r="G76" s="53">
        <v>0.02</v>
      </c>
    </row>
    <row r="77" spans="1:28">
      <c r="A77" s="36"/>
      <c r="B77" s="37" t="s">
        <v>138</v>
      </c>
      <c r="C77" s="38"/>
      <c r="D77" s="38"/>
      <c r="E77" s="53">
        <v>6.2E-2</v>
      </c>
      <c r="F77" s="38"/>
      <c r="G77" s="38"/>
    </row>
    <row r="78" spans="1:28">
      <c r="A78" s="36"/>
      <c r="B78" s="37" t="s">
        <v>139</v>
      </c>
      <c r="C78" s="38"/>
      <c r="D78" s="38"/>
      <c r="E78" s="53">
        <v>7.0000000000000007E-2</v>
      </c>
      <c r="F78" s="38"/>
      <c r="G78" s="38"/>
    </row>
    <row r="79" spans="1:28">
      <c r="A79" s="36" t="s">
        <v>140</v>
      </c>
      <c r="B79" s="37" t="s">
        <v>141</v>
      </c>
      <c r="C79" s="37" t="s">
        <v>142</v>
      </c>
      <c r="D79" s="37" t="s">
        <v>143</v>
      </c>
      <c r="E79" s="53">
        <v>3.5000000000000003E-2</v>
      </c>
      <c r="F79" s="53">
        <v>6.0000000000000001E-3</v>
      </c>
      <c r="G79" s="53">
        <v>1.2E-2</v>
      </c>
    </row>
    <row r="80" spans="1:28">
      <c r="A80" s="36"/>
      <c r="B80" s="37" t="s">
        <v>144</v>
      </c>
      <c r="C80" s="37" t="s">
        <v>145</v>
      </c>
      <c r="D80" s="37" t="s">
        <v>146</v>
      </c>
      <c r="E80" s="53">
        <v>0.05</v>
      </c>
      <c r="F80" s="53">
        <v>1.2E-2</v>
      </c>
      <c r="G80" s="53">
        <v>1.7500000000000002E-2</v>
      </c>
    </row>
    <row r="81" spans="1:12">
      <c r="A81" s="36"/>
      <c r="B81" s="37" t="s">
        <v>147</v>
      </c>
      <c r="C81" s="37" t="s">
        <v>148</v>
      </c>
      <c r="D81" s="37" t="s">
        <v>149</v>
      </c>
      <c r="E81" s="53">
        <v>5.3999999999999999E-2</v>
      </c>
      <c r="F81" s="53">
        <v>1.4999999999999999E-2</v>
      </c>
      <c r="G81" s="53">
        <v>0.02</v>
      </c>
    </row>
    <row r="82" spans="1:12">
      <c r="A82" s="36"/>
      <c r="B82" s="37" t="s">
        <v>150</v>
      </c>
      <c r="C82" s="37" t="s">
        <v>151</v>
      </c>
      <c r="D82" s="37" t="s">
        <v>152</v>
      </c>
      <c r="E82" s="53">
        <v>7.0000000000000007E-2</v>
      </c>
      <c r="F82" s="53">
        <v>0.02</v>
      </c>
      <c r="G82" s="53">
        <v>2.2499999999999999E-2</v>
      </c>
    </row>
    <row r="83" spans="1:12">
      <c r="A83" s="36" t="s">
        <v>153</v>
      </c>
      <c r="B83" s="37" t="s">
        <v>141</v>
      </c>
      <c r="C83" s="37" t="s">
        <v>154</v>
      </c>
      <c r="D83" s="37" t="s">
        <v>155</v>
      </c>
      <c r="E83" s="53">
        <v>4.7199999999999999E-2</v>
      </c>
      <c r="F83" s="53">
        <v>1.2500000000000001E-2</v>
      </c>
      <c r="G83" s="53">
        <v>1.7999999999999999E-2</v>
      </c>
    </row>
    <row r="84" spans="1:12">
      <c r="A84" s="36"/>
      <c r="B84" s="37" t="s">
        <v>144</v>
      </c>
      <c r="C84" s="37" t="s">
        <v>135</v>
      </c>
      <c r="D84" s="37" t="s">
        <v>156</v>
      </c>
      <c r="E84" s="53">
        <v>0.06</v>
      </c>
      <c r="F84" s="53">
        <v>0.02</v>
      </c>
      <c r="G84" s="53">
        <v>2.5000000000000001E-2</v>
      </c>
    </row>
    <row r="85" spans="1:12">
      <c r="A85" s="36"/>
      <c r="B85" s="37" t="s">
        <v>147</v>
      </c>
      <c r="C85" s="38"/>
      <c r="D85" s="38"/>
      <c r="E85" s="53">
        <v>6.5000000000000002E-2</v>
      </c>
      <c r="F85" s="38"/>
      <c r="G85" s="38"/>
    </row>
    <row r="86" spans="1:12">
      <c r="A86" s="36"/>
      <c r="B86" s="37" t="s">
        <v>150</v>
      </c>
      <c r="C86" s="37" t="s">
        <v>137</v>
      </c>
      <c r="D86" s="37" t="s">
        <v>157</v>
      </c>
      <c r="E86" s="53">
        <v>7.1999999999999995E-2</v>
      </c>
      <c r="F86" s="53">
        <v>2.4E-2</v>
      </c>
      <c r="G86" s="53">
        <v>3.5000000000000003E-2</v>
      </c>
    </row>
    <row r="87" spans="1:12">
      <c r="A87" s="36" t="s">
        <v>158</v>
      </c>
      <c r="B87" s="37" t="s">
        <v>159</v>
      </c>
      <c r="C87" s="37" t="s">
        <v>133</v>
      </c>
      <c r="D87" s="37" t="s">
        <v>160</v>
      </c>
      <c r="E87" s="53">
        <v>4.7199999999999999E-2</v>
      </c>
      <c r="F87" s="53">
        <v>3.0800000000000001E-2</v>
      </c>
      <c r="G87" s="53">
        <v>4.2799999999999998E-2</v>
      </c>
    </row>
    <row r="88" spans="1:12">
      <c r="A88" s="36"/>
      <c r="B88" s="37" t="s">
        <v>161</v>
      </c>
      <c r="C88" s="37" t="s">
        <v>135</v>
      </c>
      <c r="D88" s="37" t="s">
        <v>162</v>
      </c>
      <c r="E88" s="53">
        <v>5.5500000000000001E-2</v>
      </c>
      <c r="F88" s="53">
        <v>4.4499999999999998E-2</v>
      </c>
      <c r="G88" s="53">
        <v>5.45E-2</v>
      </c>
    </row>
    <row r="89" spans="1:12">
      <c r="A89" s="36"/>
      <c r="B89" s="37" t="s">
        <v>163</v>
      </c>
      <c r="C89" s="37" t="s">
        <v>137</v>
      </c>
      <c r="D89" s="37" t="s">
        <v>164</v>
      </c>
      <c r="E89" s="53">
        <v>6.7000000000000004E-2</v>
      </c>
      <c r="F89" s="53">
        <v>5.2999999999999999E-2</v>
      </c>
      <c r="G89" s="53">
        <v>6.3E-2</v>
      </c>
    </row>
    <row r="90" spans="1:12">
      <c r="A90" s="36" t="s">
        <v>165</v>
      </c>
      <c r="B90" s="37" t="s">
        <v>166</v>
      </c>
      <c r="C90" s="37" t="s">
        <v>167</v>
      </c>
      <c r="D90" s="37" t="s">
        <v>160</v>
      </c>
      <c r="E90" s="53">
        <v>4.9000000000000002E-2</v>
      </c>
      <c r="F90" s="53">
        <v>4.2799999999999998E-2</v>
      </c>
      <c r="G90" s="53">
        <v>4.2799999999999998E-2</v>
      </c>
    </row>
    <row r="91" spans="1:12">
      <c r="A91" s="36"/>
      <c r="B91" s="37" t="s">
        <v>168</v>
      </c>
      <c r="C91" s="37" t="s">
        <v>169</v>
      </c>
      <c r="D91" s="37" t="s">
        <v>162</v>
      </c>
      <c r="E91" s="53">
        <v>5.5500000000000001E-2</v>
      </c>
      <c r="F91" s="53">
        <v>5.9499999999999997E-2</v>
      </c>
      <c r="G91" s="53">
        <v>7.4499999999999997E-2</v>
      </c>
    </row>
    <row r="92" spans="1:12">
      <c r="A92" s="36"/>
      <c r="B92" s="37" t="s">
        <v>170</v>
      </c>
      <c r="C92" s="37" t="s">
        <v>157</v>
      </c>
      <c r="D92" s="37" t="s">
        <v>164</v>
      </c>
      <c r="E92" s="53">
        <v>6.7000000000000004E-2</v>
      </c>
      <c r="F92" s="53">
        <v>6.8000000000000005E-2</v>
      </c>
      <c r="G92" s="53">
        <v>8.3000000000000004E-2</v>
      </c>
    </row>
    <row r="93" spans="1:12">
      <c r="A93" s="36" t="s">
        <v>171</v>
      </c>
      <c r="B93" s="37" t="s">
        <v>143</v>
      </c>
      <c r="C93" s="37" t="s">
        <v>172</v>
      </c>
      <c r="D93" s="37" t="s">
        <v>173</v>
      </c>
      <c r="E93" s="53">
        <v>0.09</v>
      </c>
      <c r="F93" s="53">
        <v>0</v>
      </c>
      <c r="G93" s="53">
        <v>0</v>
      </c>
    </row>
    <row r="94" spans="1:12">
      <c r="A94" s="36"/>
      <c r="B94" s="37" t="s">
        <v>154</v>
      </c>
      <c r="C94" s="37" t="s">
        <v>174</v>
      </c>
      <c r="D94" s="37" t="s">
        <v>175</v>
      </c>
      <c r="E94" s="53">
        <v>0.1</v>
      </c>
      <c r="F94" s="53">
        <v>1.4999999999999999E-2</v>
      </c>
      <c r="G94" s="53">
        <v>0.03</v>
      </c>
    </row>
    <row r="95" spans="1:12">
      <c r="A95" s="36"/>
      <c r="B95" s="39">
        <v>0.15</v>
      </c>
      <c r="C95" s="37" t="s">
        <v>176</v>
      </c>
      <c r="D95" s="39">
        <v>0.02</v>
      </c>
      <c r="E95" s="53">
        <v>0.11</v>
      </c>
      <c r="F95" s="53">
        <v>2.5000000000000001E-2</v>
      </c>
      <c r="G95" s="53">
        <v>0.04</v>
      </c>
    </row>
    <row r="96" spans="1:12">
      <c r="A96" s="40" t="s">
        <v>396</v>
      </c>
      <c r="B96" s="40"/>
      <c r="C96" s="40"/>
      <c r="D96" s="40"/>
      <c r="E96" s="54"/>
      <c r="F96" s="54"/>
      <c r="G96" s="54"/>
      <c r="H96" s="54"/>
      <c r="I96" s="54"/>
      <c r="J96" s="54"/>
      <c r="K96" s="54"/>
      <c r="L96" s="54"/>
    </row>
    <row r="97" spans="1:4">
      <c r="A97" s="41" t="s">
        <v>214</v>
      </c>
      <c r="B97" s="41" t="s">
        <v>215</v>
      </c>
      <c r="C97" s="41" t="s">
        <v>216</v>
      </c>
      <c r="D97" s="41" t="s">
        <v>217</v>
      </c>
    </row>
    <row r="98" spans="1:4">
      <c r="A98" s="42"/>
      <c r="B98" s="42" t="s">
        <v>218</v>
      </c>
      <c r="C98" s="42"/>
      <c r="D98" s="43">
        <v>0.25</v>
      </c>
    </row>
    <row r="99" spans="1:4">
      <c r="A99" s="42" t="s">
        <v>213</v>
      </c>
      <c r="B99" s="44" t="s">
        <v>219</v>
      </c>
      <c r="C99" s="45">
        <v>45627</v>
      </c>
      <c r="D99" s="43">
        <v>0.2</v>
      </c>
    </row>
    <row r="100" spans="1:4">
      <c r="A100" s="42" t="s">
        <v>213</v>
      </c>
      <c r="B100" s="44" t="s">
        <v>220</v>
      </c>
      <c r="C100" s="45">
        <v>45444</v>
      </c>
      <c r="D100" s="43">
        <v>0.25</v>
      </c>
    </row>
    <row r="101" spans="1:4">
      <c r="A101" s="42" t="s">
        <v>213</v>
      </c>
      <c r="B101" s="44" t="s">
        <v>221</v>
      </c>
      <c r="C101" s="45">
        <v>45292</v>
      </c>
      <c r="D101" s="43">
        <v>0.2</v>
      </c>
    </row>
    <row r="102" spans="1:4">
      <c r="A102" s="42" t="s">
        <v>213</v>
      </c>
      <c r="B102" s="44" t="s">
        <v>222</v>
      </c>
      <c r="C102" s="45">
        <v>45017</v>
      </c>
      <c r="D102" s="43">
        <v>0.2</v>
      </c>
    </row>
    <row r="103" spans="1:4">
      <c r="A103" s="42" t="s">
        <v>213</v>
      </c>
      <c r="B103" s="44" t="s">
        <v>223</v>
      </c>
      <c r="C103" s="45">
        <v>44713</v>
      </c>
      <c r="D103" s="43">
        <v>0.2</v>
      </c>
    </row>
    <row r="104" spans="1:4">
      <c r="A104" s="42" t="s">
        <v>213</v>
      </c>
      <c r="B104" s="44" t="s">
        <v>224</v>
      </c>
      <c r="C104" s="45">
        <v>44531</v>
      </c>
      <c r="D104" s="43">
        <v>0.2</v>
      </c>
    </row>
    <row r="105" spans="1:4">
      <c r="A105" s="42" t="s">
        <v>213</v>
      </c>
      <c r="B105" s="44" t="s">
        <v>225</v>
      </c>
      <c r="C105" s="45">
        <v>44256</v>
      </c>
      <c r="D105" s="43">
        <v>0.23</v>
      </c>
    </row>
    <row r="106" spans="1:4">
      <c r="A106" s="42" t="s">
        <v>213</v>
      </c>
      <c r="B106" s="44" t="s">
        <v>226</v>
      </c>
      <c r="C106" s="45">
        <v>43862</v>
      </c>
      <c r="D106" s="43">
        <v>0.25</v>
      </c>
    </row>
    <row r="107" spans="1:4">
      <c r="A107" s="42" t="s">
        <v>213</v>
      </c>
      <c r="B107" s="44" t="s">
        <v>227</v>
      </c>
      <c r="C107" s="45">
        <v>43800</v>
      </c>
      <c r="D107" s="43">
        <v>0.23</v>
      </c>
    </row>
    <row r="108" spans="1:4">
      <c r="A108" s="42" t="s">
        <v>213</v>
      </c>
      <c r="B108" s="44" t="s">
        <v>228</v>
      </c>
      <c r="C108" s="45">
        <v>43800</v>
      </c>
      <c r="D108" s="43">
        <v>0.23</v>
      </c>
    </row>
    <row r="109" spans="1:4">
      <c r="A109" s="42" t="s">
        <v>213</v>
      </c>
      <c r="B109" s="44" t="s">
        <v>229</v>
      </c>
      <c r="C109" s="45">
        <v>43678</v>
      </c>
      <c r="D109" s="43">
        <v>0.25</v>
      </c>
    </row>
    <row r="110" spans="1:4">
      <c r="A110" s="42" t="s">
        <v>213</v>
      </c>
      <c r="B110" s="44" t="s">
        <v>230</v>
      </c>
      <c r="C110" s="45">
        <v>43678</v>
      </c>
      <c r="D110" s="43">
        <v>0.25</v>
      </c>
    </row>
    <row r="111" spans="1:4">
      <c r="A111" s="42" t="s">
        <v>213</v>
      </c>
      <c r="B111" s="44" t="s">
        <v>231</v>
      </c>
      <c r="C111" s="45">
        <v>43525</v>
      </c>
      <c r="D111" s="43">
        <v>0.23</v>
      </c>
    </row>
    <row r="112" spans="1:4">
      <c r="A112" s="42" t="s">
        <v>213</v>
      </c>
      <c r="B112" s="44" t="s">
        <v>232</v>
      </c>
      <c r="C112" s="45">
        <v>43525</v>
      </c>
      <c r="D112" s="43">
        <v>0.25</v>
      </c>
    </row>
    <row r="113" spans="1:6">
      <c r="A113" s="42" t="s">
        <v>213</v>
      </c>
      <c r="B113" s="44" t="s">
        <v>233</v>
      </c>
      <c r="C113" s="45">
        <v>43525</v>
      </c>
      <c r="D113" s="43">
        <v>0.25</v>
      </c>
    </row>
    <row r="114" spans="1:6">
      <c r="A114" s="42" t="s">
        <v>213</v>
      </c>
      <c r="B114" s="44" t="s">
        <v>234</v>
      </c>
      <c r="C114" s="45">
        <v>43466</v>
      </c>
      <c r="D114" s="43">
        <v>0.25</v>
      </c>
    </row>
    <row r="115" spans="1:6">
      <c r="A115" s="42" t="s">
        <v>213</v>
      </c>
      <c r="B115" s="44" t="s">
        <v>235</v>
      </c>
      <c r="C115" s="45">
        <v>43435</v>
      </c>
      <c r="D115" s="43">
        <v>0.25</v>
      </c>
    </row>
    <row r="116" spans="1:6">
      <c r="A116" s="42" t="s">
        <v>213</v>
      </c>
      <c r="B116" s="44" t="s">
        <v>236</v>
      </c>
      <c r="C116" s="45">
        <v>42795</v>
      </c>
      <c r="D116" s="43">
        <v>0.3</v>
      </c>
    </row>
    <row r="117" spans="1:6">
      <c r="A117" s="42" t="s">
        <v>213</v>
      </c>
      <c r="B117" s="44" t="s">
        <v>237</v>
      </c>
      <c r="C117" s="45">
        <v>42795</v>
      </c>
      <c r="D117" s="43">
        <v>0.3</v>
      </c>
    </row>
    <row r="118" spans="1:6">
      <c r="A118" s="42" t="s">
        <v>213</v>
      </c>
      <c r="B118" s="44" t="s">
        <v>238</v>
      </c>
      <c r="C118" s="45">
        <v>42795</v>
      </c>
      <c r="D118" s="43">
        <v>0.25</v>
      </c>
    </row>
    <row r="119" spans="1:6">
      <c r="A119" s="42" t="s">
        <v>213</v>
      </c>
      <c r="B119" s="44" t="s">
        <v>239</v>
      </c>
      <c r="C119" s="45">
        <v>42795</v>
      </c>
      <c r="D119" s="43">
        <v>0.25</v>
      </c>
    </row>
    <row r="120" spans="1:6">
      <c r="A120" s="42" t="s">
        <v>213</v>
      </c>
      <c r="B120" s="44" t="s">
        <v>240</v>
      </c>
      <c r="C120" s="45">
        <v>42736</v>
      </c>
      <c r="D120" s="43">
        <v>0.3</v>
      </c>
    </row>
    <row r="121" spans="1:6">
      <c r="A121" s="42" t="s">
        <v>213</v>
      </c>
      <c r="B121" s="44" t="s">
        <v>241</v>
      </c>
      <c r="C121" s="45">
        <v>42095</v>
      </c>
      <c r="D121" s="43">
        <v>0.3</v>
      </c>
    </row>
    <row r="122" spans="1:6">
      <c r="A122" s="42" t="s">
        <v>213</v>
      </c>
      <c r="B122" s="44" t="s">
        <v>242</v>
      </c>
      <c r="C122" s="45">
        <v>40148</v>
      </c>
      <c r="D122" s="43">
        <v>0.3</v>
      </c>
    </row>
    <row r="123" spans="1:6">
      <c r="A123" s="42" t="s">
        <v>213</v>
      </c>
      <c r="B123" s="44" t="s">
        <v>243</v>
      </c>
      <c r="C123" s="45">
        <v>39417</v>
      </c>
      <c r="D123" s="43">
        <v>0.3</v>
      </c>
    </row>
    <row r="124" spans="1:6" ht="93.95" customHeight="1">
      <c r="A124" s="46" t="s">
        <v>397</v>
      </c>
      <c r="B124" s="46" t="s">
        <v>187</v>
      </c>
      <c r="C124" s="46" t="s">
        <v>398</v>
      </c>
      <c r="D124" s="46" t="s">
        <v>187</v>
      </c>
      <c r="E124" s="46" t="s">
        <v>293</v>
      </c>
      <c r="F124" s="46" t="s">
        <v>187</v>
      </c>
    </row>
    <row r="125" spans="1:6">
      <c r="A125" s="47" t="s">
        <v>276</v>
      </c>
      <c r="B125" s="48">
        <v>0.15</v>
      </c>
      <c r="C125" s="47" t="s">
        <v>276</v>
      </c>
      <c r="D125" s="48">
        <v>0.2</v>
      </c>
      <c r="E125" s="47" t="s">
        <v>295</v>
      </c>
      <c r="F125" s="48">
        <v>0.12</v>
      </c>
    </row>
    <row r="126" spans="1:6">
      <c r="A126" s="47" t="s">
        <v>289</v>
      </c>
      <c r="B126" s="48">
        <v>0.2</v>
      </c>
      <c r="C126" s="47" t="s">
        <v>278</v>
      </c>
      <c r="D126" s="48">
        <v>0.3</v>
      </c>
      <c r="E126" s="47" t="s">
        <v>280</v>
      </c>
      <c r="F126" s="48">
        <v>0.25</v>
      </c>
    </row>
    <row r="127" spans="1:6">
      <c r="A127" s="49" t="s">
        <v>290</v>
      </c>
      <c r="B127" s="50">
        <v>0.3</v>
      </c>
      <c r="C127" s="49" t="s">
        <v>280</v>
      </c>
      <c r="D127" s="50">
        <v>0.4</v>
      </c>
      <c r="E127" s="49" t="s">
        <v>292</v>
      </c>
      <c r="F127" s="50">
        <v>0.35</v>
      </c>
    </row>
    <row r="128" spans="1:6">
      <c r="A128" s="49" t="s">
        <v>291</v>
      </c>
      <c r="B128" s="50">
        <v>0.4</v>
      </c>
      <c r="C128" s="49" t="s">
        <v>292</v>
      </c>
      <c r="D128" s="50">
        <v>0.5</v>
      </c>
      <c r="E128" s="55" t="s">
        <v>286</v>
      </c>
      <c r="F128" s="56">
        <v>0.1</v>
      </c>
    </row>
    <row r="129" spans="1:11">
      <c r="A129" s="47" t="s">
        <v>292</v>
      </c>
      <c r="B129" s="48">
        <v>0.45</v>
      </c>
      <c r="C129" s="55" t="s">
        <v>286</v>
      </c>
      <c r="D129" s="56">
        <v>0.1</v>
      </c>
      <c r="E129" s="55"/>
      <c r="F129" s="56"/>
    </row>
    <row r="130" spans="1:11">
      <c r="A130" s="55" t="s">
        <v>286</v>
      </c>
      <c r="B130" s="56">
        <v>0.1</v>
      </c>
      <c r="C130" s="55"/>
      <c r="D130" s="56"/>
      <c r="E130" s="55"/>
      <c r="F130" s="56"/>
    </row>
    <row r="131" spans="1:11">
      <c r="A131" s="58" t="s">
        <v>399</v>
      </c>
      <c r="B131" s="58" t="s">
        <v>249</v>
      </c>
      <c r="C131" s="58" t="s">
        <v>250</v>
      </c>
      <c r="D131" s="58" t="s">
        <v>79</v>
      </c>
      <c r="E131" s="64"/>
      <c r="F131" s="64"/>
      <c r="G131" s="64"/>
      <c r="H131" s="64"/>
      <c r="I131" s="64"/>
      <c r="J131" s="64"/>
      <c r="K131" s="64"/>
    </row>
    <row r="132" spans="1:11">
      <c r="A132" s="59"/>
      <c r="B132" s="60">
        <v>10959</v>
      </c>
      <c r="C132" s="61">
        <v>0.02</v>
      </c>
      <c r="D132" s="61">
        <v>0.02</v>
      </c>
      <c r="E132" s="64"/>
      <c r="F132" s="64"/>
      <c r="G132" s="64"/>
      <c r="H132" s="64"/>
      <c r="I132" s="64"/>
      <c r="J132" s="64"/>
      <c r="K132" s="64"/>
    </row>
    <row r="133" spans="1:11">
      <c r="A133" s="59"/>
      <c r="B133" s="62" t="s">
        <v>251</v>
      </c>
      <c r="C133" s="61">
        <v>4.4999999999999998E-2</v>
      </c>
      <c r="D133" s="61">
        <v>0.04</v>
      </c>
      <c r="E133" s="64"/>
      <c r="F133" s="64"/>
      <c r="G133" s="64"/>
      <c r="H133" s="64"/>
      <c r="I133" s="64"/>
      <c r="J133" s="64"/>
      <c r="K133" s="64"/>
    </row>
    <row r="134" spans="1:11">
      <c r="A134" s="62" t="s">
        <v>252</v>
      </c>
      <c r="B134" s="62" t="s">
        <v>253</v>
      </c>
      <c r="C134" s="61">
        <v>5.7500000000000002E-2</v>
      </c>
      <c r="D134" s="61">
        <v>4.4999999999999998E-2</v>
      </c>
      <c r="E134" s="64"/>
      <c r="F134" s="64"/>
      <c r="G134" s="64"/>
      <c r="H134" s="64"/>
      <c r="I134" s="64"/>
      <c r="J134" s="64"/>
      <c r="K134" s="64"/>
    </row>
    <row r="135" spans="1:11">
      <c r="A135" s="63"/>
      <c r="B135" s="62" t="s">
        <v>254</v>
      </c>
      <c r="C135" s="61">
        <v>0.09</v>
      </c>
      <c r="D135" s="61">
        <v>0.09</v>
      </c>
      <c r="E135" s="64"/>
      <c r="F135" s="64"/>
      <c r="G135" s="64"/>
      <c r="H135" s="64"/>
      <c r="I135" s="64"/>
      <c r="J135" s="64"/>
      <c r="K135" s="64"/>
    </row>
    <row r="136" spans="1:11">
      <c r="A136" s="63"/>
      <c r="B136" s="62" t="s">
        <v>255</v>
      </c>
      <c r="C136" s="61">
        <v>0.115</v>
      </c>
      <c r="D136" s="61">
        <v>0.115</v>
      </c>
      <c r="E136" s="64"/>
      <c r="F136" s="64"/>
      <c r="G136" s="64"/>
      <c r="H136" s="64"/>
      <c r="I136" s="64"/>
      <c r="J136" s="64"/>
      <c r="K136" s="64"/>
    </row>
    <row r="137" spans="1:11">
      <c r="A137" s="63"/>
      <c r="B137" s="62" t="s">
        <v>256</v>
      </c>
      <c r="C137" s="61">
        <v>0.15</v>
      </c>
      <c r="D137" s="61">
        <v>0.15</v>
      </c>
      <c r="E137" s="64"/>
      <c r="F137" s="64"/>
      <c r="G137" s="64"/>
      <c r="H137" s="64"/>
      <c r="I137" s="64"/>
      <c r="J137" s="64"/>
      <c r="K137" s="64"/>
    </row>
  </sheetData>
  <mergeCells count="4">
    <mergeCell ref="H31:N31"/>
    <mergeCell ref="A32:B32"/>
    <mergeCell ref="H32:I32"/>
    <mergeCell ref="J32:N3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PL-PRE&amp;NOR</vt:lpstr>
      <vt:lpstr>TW-BKT</vt:lpstr>
      <vt:lpstr>NISSAN</vt:lpstr>
      <vt:lpstr>KMBL</vt:lpstr>
      <vt:lpstr>IIFL WRITE OFF</vt:lpstr>
      <vt:lpstr>PAYTM</vt:lpstr>
      <vt:lpstr>FOS PAYOUT STRUCTURE</vt:lpstr>
      <vt:lpstr>ACTUAL PAYOUT STRUCTURE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bhabatoshmukherjee103gmail.com</dc:creator>
  <cp:lastModifiedBy>User</cp:lastModifiedBy>
  <dcterms:created xsi:type="dcterms:W3CDTF">2025-12-22T04:17:00Z</dcterms:created>
  <dcterms:modified xsi:type="dcterms:W3CDTF">2026-03-07T13:03:17Z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5827AA587BE24E819FAB6069512B7496_43</vt:lpwstr>
  </property>
  <property fmtid="{D5CDD505-2E9C-101B-9397-08002B2CF9AE}" pid="3" name="KSOProductBuildVer">
    <vt:lpwstr>1033-6.13.1.8709</vt:lpwstr>
  </property>
</Properties>
</file>